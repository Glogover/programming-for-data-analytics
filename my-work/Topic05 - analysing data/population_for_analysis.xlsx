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disonconsulting/Desktop/programming-for-data-analytics/my-work/Topic05 - analysing data/"/>
    </mc:Choice>
  </mc:AlternateContent>
  <xr:revisionPtr revIDLastSave="0" documentId="13_ncr:1_{24950784-85BF-3541-BB07-4C2439088016}" xr6:coauthVersionLast="47" xr6:coauthVersionMax="47" xr10:uidLastSave="{00000000-0000-0000-0000-000000000000}"/>
  <bookViews>
    <workbookView xWindow="0" yWindow="0" windowWidth="25600" windowHeight="16000" activeTab="2" xr2:uid="{0AB17354-0F51-BA4B-BA00-BD19D1ADBE18}"/>
  </bookViews>
  <sheets>
    <sheet name="population_for_analysis" sheetId="1" r:id="rId1"/>
    <sheet name="Weighted Mean" sheetId="2" r:id="rId2"/>
    <sheet name="Weighted Median &amp; Mode" sheetId="3" r:id="rId3"/>
  </sheets>
  <calcPr calcId="191029"/>
  <pivotCaches>
    <pivotCache cacheId="0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03" i="3" l="1"/>
  <c r="B103" i="3"/>
  <c r="H109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8" i="2"/>
  <c r="C103" i="3"/>
  <c r="F2" i="3"/>
  <c r="C3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89" i="3"/>
  <c r="C90" i="3"/>
  <c r="C91" i="3"/>
  <c r="C92" i="3"/>
  <c r="C93" i="3"/>
  <c r="C94" i="3"/>
  <c r="C95" i="3"/>
  <c r="C96" i="3"/>
  <c r="C97" i="3"/>
  <c r="C98" i="3"/>
  <c r="C99" i="3"/>
  <c r="C100" i="3"/>
  <c r="C101" i="3"/>
  <c r="C102" i="3"/>
  <c r="C2" i="3"/>
  <c r="L109" i="2"/>
</calcChain>
</file>

<file path=xl/sharedStrings.xml><?xml version="1.0" encoding="utf-8"?>
<sst xmlns="http://schemas.openxmlformats.org/spreadsheetml/2006/main" count="44" uniqueCount="41">
  <si>
    <t>Single Year of Age</t>
  </si>
  <si>
    <t>Carlow County Council</t>
  </si>
  <si>
    <t>Cavan County Council</t>
  </si>
  <si>
    <t>Clare County Council</t>
  </si>
  <si>
    <t>Cork City Council</t>
  </si>
  <si>
    <t>Cork County Council</t>
  </si>
  <si>
    <t>Donegal County Council</t>
  </si>
  <si>
    <t>Dublin City Council</t>
  </si>
  <si>
    <t>D√ļn Laoghaire Rathdown County Council</t>
  </si>
  <si>
    <t>Fingal County Council</t>
  </si>
  <si>
    <t>Galway City Council</t>
  </si>
  <si>
    <t>Galway County Council</t>
  </si>
  <si>
    <t>Ireland</t>
  </si>
  <si>
    <t>Kerry County Council</t>
  </si>
  <si>
    <t>Kildare County Council</t>
  </si>
  <si>
    <t>Kilkenny County Council</t>
  </si>
  <si>
    <t>Laois County Council</t>
  </si>
  <si>
    <t>Leitrim County Council</t>
  </si>
  <si>
    <t>Limerick City &amp; County Council</t>
  </si>
  <si>
    <t>Longford County Council</t>
  </si>
  <si>
    <t>Louth County Council</t>
  </si>
  <si>
    <t>Mayo  County Council</t>
  </si>
  <si>
    <t>Meath County Council</t>
  </si>
  <si>
    <t>Monaghan County Council</t>
  </si>
  <si>
    <t>Offaly County Council</t>
  </si>
  <si>
    <t>Roscommon County Council</t>
  </si>
  <si>
    <t>Sligo County Council</t>
  </si>
  <si>
    <t>South Dublin County Council</t>
  </si>
  <si>
    <t>Tipperary County Council</t>
  </si>
  <si>
    <t>Waterford City &amp; County Council</t>
  </si>
  <si>
    <t>Westmeath County Council</t>
  </si>
  <si>
    <t>Wexford County Council</t>
  </si>
  <si>
    <t>Wicklow County Council</t>
  </si>
  <si>
    <t>Suma z Carlow County Council</t>
  </si>
  <si>
    <t>Suma</t>
  </si>
  <si>
    <t>Suma końcowa</t>
  </si>
  <si>
    <t xml:space="preserve">Weighted Mean = </t>
  </si>
  <si>
    <t>Cumulative Sum of the Populations</t>
  </si>
  <si>
    <t>Max Population =</t>
  </si>
  <si>
    <t xml:space="preserve">Weighted Mode = </t>
  </si>
  <si>
    <t>years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</si>
</sst>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Calibri"/>
      <family val="2"/>
      <charset val="238"/>
      <scheme val="minor"/>
    </font>
    <font>
      <sz val="12"/>
      <color theme="1"/>
      <name val="Calibri"/>
      <family val="2"/>
      <charset val="238"/>
      <scheme val="minor"/>
    </font>
    <font>
      <sz val="18"/>
      <color theme="3"/>
      <name val="Calibri Light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2"/>
      <color rgb="FF006100"/>
      <name val="Calibri"/>
      <family val="2"/>
      <charset val="238"/>
      <scheme val="minor"/>
    </font>
    <font>
      <sz val="12"/>
      <color rgb="FF9C0006"/>
      <name val="Calibri"/>
      <family val="2"/>
      <charset val="238"/>
      <scheme val="minor"/>
    </font>
    <font>
      <sz val="12"/>
      <color rgb="FF9C5700"/>
      <name val="Calibri"/>
      <family val="2"/>
      <charset val="238"/>
      <scheme val="minor"/>
    </font>
    <font>
      <sz val="12"/>
      <color rgb="FF3F3F76"/>
      <name val="Calibri"/>
      <family val="2"/>
      <charset val="238"/>
      <scheme val="minor"/>
    </font>
    <font>
      <b/>
      <sz val="12"/>
      <color rgb="FF3F3F3F"/>
      <name val="Calibri"/>
      <family val="2"/>
      <charset val="238"/>
      <scheme val="minor"/>
    </font>
    <font>
      <b/>
      <sz val="12"/>
      <color rgb="FFFA7D00"/>
      <name val="Calibri"/>
      <family val="2"/>
      <charset val="238"/>
      <scheme val="minor"/>
    </font>
    <font>
      <sz val="12"/>
      <color rgb="FFFA7D00"/>
      <name val="Calibri"/>
      <family val="2"/>
      <charset val="238"/>
      <scheme val="minor"/>
    </font>
    <font>
      <b/>
      <sz val="12"/>
      <color theme="0"/>
      <name val="Calibri"/>
      <family val="2"/>
      <charset val="238"/>
      <scheme val="minor"/>
    </font>
    <font>
      <sz val="12"/>
      <color rgb="FFFF0000"/>
      <name val="Calibri"/>
      <family val="2"/>
      <charset val="238"/>
      <scheme val="minor"/>
    </font>
    <font>
      <i/>
      <sz val="12"/>
      <color rgb="FF7F7F7F"/>
      <name val="Calibri"/>
      <family val="2"/>
      <charset val="238"/>
      <scheme val="minor"/>
    </font>
    <font>
      <b/>
      <sz val="12"/>
      <color theme="1"/>
      <name val="Calibri"/>
      <family val="2"/>
      <charset val="238"/>
      <scheme val="minor"/>
    </font>
    <font>
      <sz val="12"/>
      <color theme="0"/>
      <name val="Calibri"/>
      <family val="2"/>
      <charset val="238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2"/>
      <color rgb="FF000000"/>
      <name val="Calibri"/>
      <family val="2"/>
      <charset val="238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D6DCE4"/>
        <bgColor rgb="FF000000"/>
      </patternFill>
    </fill>
    <fill>
      <patternFill patternType="solid">
        <fgColor rgb="FFFFFF00"/>
        <bgColor rgb="FF000000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8">
    <xf numFmtId="0" fontId="0" fillId="0" borderId="0" xfId="0"/>
    <xf numFmtId="0" fontId="0" fillId="0" borderId="0" xfId="0" pivotButton="1"/>
    <xf numFmtId="0" fontId="18" fillId="33" borderId="0" xfId="0" applyFont="1" applyFill="1"/>
    <xf numFmtId="0" fontId="18" fillId="0" borderId="0" xfId="0" applyFont="1"/>
    <xf numFmtId="0" fontId="0" fillId="0" borderId="10" xfId="0" applyBorder="1"/>
    <xf numFmtId="0" fontId="19" fillId="0" borderId="0" xfId="0" applyFont="1" applyAlignment="1">
      <alignment wrapText="1"/>
    </xf>
    <xf numFmtId="0" fontId="19" fillId="34" borderId="0" xfId="0" applyFont="1" applyFill="1" applyAlignment="1">
      <alignment wrapText="1"/>
    </xf>
    <xf numFmtId="0" fontId="0" fillId="34" borderId="0" xfId="0" applyFill="1"/>
    <xf numFmtId="0" fontId="20" fillId="0" borderId="0" xfId="0" applyFont="1" applyAlignment="1">
      <alignment wrapText="1"/>
    </xf>
    <xf numFmtId="0" fontId="20" fillId="35" borderId="0" xfId="0" applyFont="1" applyFill="1" applyAlignment="1">
      <alignment wrapText="1"/>
    </xf>
    <xf numFmtId="0" fontId="21" fillId="0" borderId="0" xfId="0" applyFont="1"/>
    <xf numFmtId="0" fontId="21" fillId="35" borderId="0" xfId="0" applyFont="1" applyFill="1"/>
    <xf numFmtId="0" fontId="20" fillId="0" borderId="0" xfId="0" applyFont="1"/>
    <xf numFmtId="0" fontId="20" fillId="35" borderId="0" xfId="0" applyFont="1" applyFill="1"/>
    <xf numFmtId="0" fontId="19" fillId="0" borderId="0" xfId="0" applyFont="1"/>
    <xf numFmtId="0" fontId="0" fillId="33" borderId="0" xfId="0" applyFill="1"/>
    <xf numFmtId="0" fontId="21" fillId="33" borderId="0" xfId="0" applyFont="1" applyFill="1"/>
    <xf numFmtId="0" fontId="21" fillId="36" borderId="0" xfId="0" applyFont="1" applyFill="1"/>
  </cellXfs>
  <cellStyles count="42">
    <cellStyle name="20% — akcent 1" xfId="19" builtinId="30" customBuiltin="1"/>
    <cellStyle name="20% — akcent 2" xfId="23" builtinId="34" customBuiltin="1"/>
    <cellStyle name="20% — akcent 3" xfId="27" builtinId="38" customBuiltin="1"/>
    <cellStyle name="20% — akcent 4" xfId="31" builtinId="42" customBuiltin="1"/>
    <cellStyle name="20% — akcent 5" xfId="35" builtinId="46" customBuiltin="1"/>
    <cellStyle name="20% — akcent 6" xfId="39" builtinId="50" customBuiltin="1"/>
    <cellStyle name="40% — akcent 1" xfId="20" builtinId="31" customBuiltin="1"/>
    <cellStyle name="40% — akcent 2" xfId="24" builtinId="35" customBuiltin="1"/>
    <cellStyle name="40% — akcent 3" xfId="28" builtinId="39" customBuiltin="1"/>
    <cellStyle name="40% — akcent 4" xfId="32" builtinId="43" customBuiltin="1"/>
    <cellStyle name="40% — akcent 5" xfId="36" builtinId="47" customBuiltin="1"/>
    <cellStyle name="40% — akcent 6" xfId="40" builtinId="51" customBuiltin="1"/>
    <cellStyle name="60% — akcent 1" xfId="21" builtinId="32" customBuiltin="1"/>
    <cellStyle name="60% — akcent 2" xfId="25" builtinId="36" customBuiltin="1"/>
    <cellStyle name="60% — akcent 3" xfId="29" builtinId="40" customBuiltin="1"/>
    <cellStyle name="60% — akcent 4" xfId="33" builtinId="44" customBuiltin="1"/>
    <cellStyle name="60% — akcent 5" xfId="37" builtinId="48" customBuiltin="1"/>
    <cellStyle name="60% — akcent 6" xfId="41" builtinId="52" customBuiltin="1"/>
    <cellStyle name="Akcent 1" xfId="18" builtinId="29" customBuiltin="1"/>
    <cellStyle name="Akcent 2" xfId="22" builtinId="33" customBuiltin="1"/>
    <cellStyle name="Akcent 3" xfId="26" builtinId="37" customBuiltin="1"/>
    <cellStyle name="Akcent 4" xfId="30" builtinId="41" customBuiltin="1"/>
    <cellStyle name="Akcent 5" xfId="34" builtinId="45" customBuiltin="1"/>
    <cellStyle name="Akcent 6" xfId="38" builtinId="49" customBuiltin="1"/>
    <cellStyle name="Dane wejściowe" xfId="9" builtinId="20" customBuiltin="1"/>
    <cellStyle name="Dane wyjściowe" xfId="10" builtinId="21" customBuiltin="1"/>
    <cellStyle name="Dobry" xfId="6" builtinId="26" customBuiltin="1"/>
    <cellStyle name="Komórka połączona" xfId="12" builtinId="24" customBuiltin="1"/>
    <cellStyle name="Komórka zaznaczona" xfId="13" builtinId="23" customBuiltin="1"/>
    <cellStyle name="Nagłówek 1" xfId="2" builtinId="16" customBuiltin="1"/>
    <cellStyle name="Nagłówek 2" xfId="3" builtinId="17" customBuiltin="1"/>
    <cellStyle name="Nagłówek 3" xfId="4" builtinId="18" customBuiltin="1"/>
    <cellStyle name="Nagłówek 4" xfId="5" builtinId="19" customBuiltin="1"/>
    <cellStyle name="Neutralny" xfId="8" builtinId="28" customBuiltin="1"/>
    <cellStyle name="Normalny" xfId="0" builtinId="0"/>
    <cellStyle name="Obliczenia" xfId="11" builtinId="22" customBuiltin="1"/>
    <cellStyle name="Suma" xfId="17" builtinId="25" customBuiltin="1"/>
    <cellStyle name="Tekst objaśnienia" xfId="16" builtinId="53" customBuiltin="1"/>
    <cellStyle name="Tekst ostrzeżenia" xfId="14" builtinId="11" customBuiltin="1"/>
    <cellStyle name="Tytuł" xfId="1" builtinId="15" customBuiltin="1"/>
    <cellStyle name="Uwaga" xfId="15" builtinId="10" customBuiltin="1"/>
    <cellStyle name="Zły" xfId="7" builtinId="27" customBuiltin="1"/>
  </cellStyles>
  <dxfs count="4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dison Consulting" refreshedDate="45965.91470671296" createdVersion="8" refreshedVersion="8" minRefreshableVersion="3" recordCount="102" xr:uid="{155ACAB8-52DE-CB41-BF8B-9398949CAC29}">
  <cacheSource type="worksheet">
    <worksheetSource ref="A1:AG1048576" sheet="population_for_analysis"/>
  </cacheSource>
  <cacheFields count="33">
    <cacheField name="Single Year of Age" numFmtId="0">
      <sharedItems containsString="0" containsBlank="1" containsNumber="1" containsInteger="1" minValue="0" maxValue="100" count="102">
        <n v="0"/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  <n v="91"/>
        <n v="92"/>
        <n v="93"/>
        <n v="94"/>
        <n v="95"/>
        <n v="96"/>
        <n v="97"/>
        <n v="98"/>
        <n v="99"/>
        <n v="100"/>
        <m/>
      </sharedItems>
    </cacheField>
    <cacheField name="Carlow County Council" numFmtId="0">
      <sharedItems containsString="0" containsBlank="1" containsNumber="1" containsInteger="1" minValue="3" maxValue="1045"/>
    </cacheField>
    <cacheField name="Cavan County Council" numFmtId="0">
      <sharedItems containsString="0" containsBlank="1" containsNumber="1" containsInteger="1" minValue="6" maxValue="1343"/>
    </cacheField>
    <cacheField name="Clare County Council" numFmtId="0">
      <sharedItems containsString="0" containsBlank="1" containsNumber="1" containsInteger="1" minValue="14" maxValue="2029"/>
    </cacheField>
    <cacheField name="Cork City Council" numFmtId="0">
      <sharedItems containsString="0" containsBlank="1" containsNumber="1" containsInteger="1" minValue="23" maxValue="3677"/>
    </cacheField>
    <cacheField name="Cork County Council" numFmtId="0">
      <sharedItems containsString="0" containsBlank="1" containsNumber="1" containsInteger="1" minValue="25" maxValue="6116"/>
    </cacheField>
    <cacheField name="Donegal County Council" numFmtId="0">
      <sharedItems containsString="0" containsBlank="1" containsNumber="1" containsInteger="1" minValue="15" maxValue="2632"/>
    </cacheField>
    <cacheField name="Dublin City Council" numFmtId="0">
      <sharedItems containsString="0" containsBlank="1" containsNumber="1" containsInteger="1" minValue="64" maxValue="12366"/>
    </cacheField>
    <cacheField name="D√ļn Laoghaire Rathdown County Council" numFmtId="0">
      <sharedItems containsString="0" containsBlank="1" containsNumber="1" containsInteger="1" minValue="32" maxValue="3739"/>
    </cacheField>
    <cacheField name="Fingal County Council" numFmtId="0">
      <sharedItems containsString="0" containsBlank="1" containsNumber="1" containsInteger="1" minValue="21" maxValue="6350"/>
    </cacheField>
    <cacheField name="Galway City Council" numFmtId="0">
      <sharedItems containsString="0" containsBlank="1" containsNumber="1" containsInteger="1" minValue="4" maxValue="2084"/>
    </cacheField>
    <cacheField name="Galway County Council" numFmtId="0">
      <sharedItems containsString="0" containsBlank="1" containsNumber="1" containsInteger="1" minValue="22" maxValue="3183"/>
    </cacheField>
    <cacheField name="Ireland" numFmtId="0">
      <sharedItems containsString="0" containsBlank="1" containsNumber="1" containsInteger="1" minValue="441" maxValue="85097"/>
    </cacheField>
    <cacheField name="Kerry County Council" numFmtId="0">
      <sharedItems containsString="0" containsBlank="1" containsNumber="1" containsInteger="1" minValue="12" maxValue="2507"/>
    </cacheField>
    <cacheField name="Kildare County Council" numFmtId="0">
      <sharedItems containsString="0" containsBlank="1" containsNumber="1" containsInteger="1" minValue="13" maxValue="4450"/>
    </cacheField>
    <cacheField name="Kilkenny County Council" numFmtId="0">
      <sharedItems containsString="0" containsBlank="1" containsNumber="1" containsInteger="1" minValue="9" maxValue="1670"/>
    </cacheField>
    <cacheField name="Laois County Council" numFmtId="0">
      <sharedItems containsString="0" containsBlank="1" containsNumber="1" containsInteger="1" minValue="3" maxValue="1635"/>
    </cacheField>
    <cacheField name="Leitrim County Council" numFmtId="0">
      <sharedItems containsString="0" containsBlank="1" containsNumber="1" containsInteger="1" minValue="3" maxValue="542"/>
    </cacheField>
    <cacheField name="Limerick City &amp; County Council" numFmtId="0">
      <sharedItems containsString="0" containsBlank="1" containsNumber="1" containsInteger="1" minValue="17" maxValue="3345"/>
    </cacheField>
    <cacheField name="Longford County Council" numFmtId="0">
      <sharedItems containsString="0" containsBlank="1" containsNumber="1" containsInteger="1" minValue="1" maxValue="822"/>
    </cacheField>
    <cacheField name="Louth County Council" numFmtId="0">
      <sharedItems containsString="0" containsBlank="1" containsNumber="1" containsInteger="1" minValue="7" maxValue="2322"/>
    </cacheField>
    <cacheField name="Mayo  County Council" numFmtId="0">
      <sharedItems containsString="0" containsBlank="1" containsNumber="1" containsInteger="1" minValue="14" maxValue="2069"/>
    </cacheField>
    <cacheField name="Meath County Council" numFmtId="0">
      <sharedItems containsString="0" containsBlank="1" containsNumber="1" containsInteger="1" minValue="15" maxValue="3899"/>
    </cacheField>
    <cacheField name="Monaghan County Council" numFmtId="0">
      <sharedItems containsString="0" containsBlank="1" containsNumber="1" containsInteger="1" minValue="5" maxValue="1072"/>
    </cacheField>
    <cacheField name="Offaly County Council" numFmtId="0">
      <sharedItems containsString="0" containsBlank="1" containsNumber="1" containsInteger="1" minValue="4" maxValue="1397"/>
    </cacheField>
    <cacheField name="Roscommon County Council" numFmtId="0">
      <sharedItems containsString="0" containsBlank="1" containsNumber="1" containsInteger="1" minValue="7" maxValue="1100"/>
    </cacheField>
    <cacheField name="Sligo County Council" numFmtId="0">
      <sharedItems containsString="0" containsBlank="1" containsNumber="1" containsInteger="1" minValue="10" maxValue="1089"/>
    </cacheField>
    <cacheField name="South Dublin County Council" numFmtId="0">
      <sharedItems containsString="0" containsBlank="1" containsNumber="1" containsInteger="1" minValue="17" maxValue="5428"/>
    </cacheField>
    <cacheField name="Tipperary County Council" numFmtId="0">
      <sharedItems containsString="0" containsBlank="1" containsNumber="1" containsInteger="1" minValue="10" maxValue="2581"/>
    </cacheField>
    <cacheField name="Waterford City &amp; County Council" numFmtId="0">
      <sharedItems containsString="0" containsBlank="1" containsNumber="1" containsInteger="1" minValue="17" maxValue="2094"/>
    </cacheField>
    <cacheField name="Westmeath County Council" numFmtId="0">
      <sharedItems containsString="0" containsBlank="1" containsNumber="1" containsInteger="1" minValue="6" maxValue="1561"/>
    </cacheField>
    <cacheField name="Wexford County Council" numFmtId="0">
      <sharedItems containsString="0" containsBlank="1" containsNumber="1" containsInteger="1" minValue="16" maxValue="2709"/>
    </cacheField>
    <cacheField name="Wicklow County Council" numFmtId="0">
      <sharedItems containsString="0" containsBlank="1" containsNumber="1" containsInteger="1" minValue="8" maxValue="274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2">
  <r>
    <x v="0"/>
    <n v="699"/>
    <n v="1006"/>
    <n v="1377"/>
    <n v="2283"/>
    <n v="4190"/>
    <n v="1797"/>
    <n v="6213"/>
    <n v="2457"/>
    <n v="4009"/>
    <n v="792"/>
    <n v="2249"/>
    <n v="57796"/>
    <n v="1665"/>
    <n v="3005"/>
    <n v="1123"/>
    <n v="1100"/>
    <n v="404"/>
    <n v="2165"/>
    <n v="527"/>
    <n v="1700"/>
    <n v="1520"/>
    <n v="2774"/>
    <n v="868"/>
    <n v="935"/>
    <n v="748"/>
    <n v="743"/>
    <n v="3544"/>
    <n v="1932"/>
    <n v="1340"/>
    <n v="1129"/>
    <n v="1792"/>
    <n v="1710"/>
  </r>
  <r>
    <x v="1"/>
    <n v="649"/>
    <n v="1004"/>
    <n v="1360"/>
    <n v="2284"/>
    <n v="4115"/>
    <n v="1881"/>
    <n v="5699"/>
    <n v="2437"/>
    <n v="3894"/>
    <n v="757"/>
    <n v="2217"/>
    <n v="56420"/>
    <n v="1550"/>
    <n v="2987"/>
    <n v="1121"/>
    <n v="1008"/>
    <n v="406"/>
    <n v="2235"/>
    <n v="482"/>
    <n v="1531"/>
    <n v="1566"/>
    <n v="2638"/>
    <n v="821"/>
    <n v="937"/>
    <n v="764"/>
    <n v="766"/>
    <n v="3673"/>
    <n v="1808"/>
    <n v="1266"/>
    <n v="1158"/>
    <n v="1724"/>
    <n v="1682"/>
  </r>
  <r>
    <x v="2"/>
    <n v="689"/>
    <n v="1061"/>
    <n v="1473"/>
    <n v="2306"/>
    <n v="4290"/>
    <n v="1971"/>
    <n v="5830"/>
    <n v="2489"/>
    <n v="4308"/>
    <n v="792"/>
    <n v="2349"/>
    <n v="59210"/>
    <n v="1651"/>
    <n v="3102"/>
    <n v="1179"/>
    <n v="1169"/>
    <n v="453"/>
    <n v="2373"/>
    <n v="544"/>
    <n v="1694"/>
    <n v="1526"/>
    <n v="2851"/>
    <n v="870"/>
    <n v="945"/>
    <n v="893"/>
    <n v="764"/>
    <n v="3734"/>
    <n v="1836"/>
    <n v="1329"/>
    <n v="1108"/>
    <n v="1835"/>
    <n v="1796"/>
  </r>
  <r>
    <x v="3"/>
    <n v="754"/>
    <n v="1085"/>
    <n v="1468"/>
    <n v="2294"/>
    <n v="4437"/>
    <n v="2074"/>
    <n v="5580"/>
    <n v="2613"/>
    <n v="4384"/>
    <n v="799"/>
    <n v="2438"/>
    <n v="60484"/>
    <n v="1714"/>
    <n v="3120"/>
    <n v="1203"/>
    <n v="1219"/>
    <n v="432"/>
    <n v="2352"/>
    <n v="583"/>
    <n v="1603"/>
    <n v="1557"/>
    <n v="2928"/>
    <n v="900"/>
    <n v="1009"/>
    <n v="859"/>
    <n v="825"/>
    <n v="3856"/>
    <n v="2048"/>
    <n v="1476"/>
    <n v="1148"/>
    <n v="1864"/>
    <n v="1862"/>
  </r>
  <r>
    <x v="4"/>
    <n v="745"/>
    <n v="1047"/>
    <n v="1505"/>
    <n v="2243"/>
    <n v="4620"/>
    <n v="2089"/>
    <n v="5624"/>
    <n v="2658"/>
    <n v="4422"/>
    <n v="830"/>
    <n v="2543"/>
    <n v="61505"/>
    <n v="1720"/>
    <n v="3267"/>
    <n v="1234"/>
    <n v="1220"/>
    <n v="450"/>
    <n v="2467"/>
    <n v="559"/>
    <n v="1732"/>
    <n v="1593"/>
    <n v="3026"/>
    <n v="873"/>
    <n v="1007"/>
    <n v="833"/>
    <n v="820"/>
    <n v="3870"/>
    <n v="2072"/>
    <n v="1390"/>
    <n v="1208"/>
    <n v="1941"/>
    <n v="1897"/>
  </r>
  <r>
    <x v="5"/>
    <n v="749"/>
    <n v="1143"/>
    <n v="1620"/>
    <n v="2362"/>
    <n v="4753"/>
    <n v="2174"/>
    <n v="5575"/>
    <n v="2868"/>
    <n v="4639"/>
    <n v="849"/>
    <n v="2612"/>
    <n v="64026"/>
    <n v="1873"/>
    <n v="3296"/>
    <n v="1337"/>
    <n v="1248"/>
    <n v="447"/>
    <n v="2484"/>
    <n v="646"/>
    <n v="1793"/>
    <n v="1712"/>
    <n v="3121"/>
    <n v="882"/>
    <n v="1099"/>
    <n v="913"/>
    <n v="819"/>
    <n v="4053"/>
    <n v="2070"/>
    <n v="1515"/>
    <n v="1276"/>
    <n v="2022"/>
    <n v="2076"/>
  </r>
  <r>
    <x v="6"/>
    <n v="750"/>
    <n v="1176"/>
    <n v="1656"/>
    <n v="2496"/>
    <n v="5072"/>
    <n v="2224"/>
    <n v="5813"/>
    <n v="2879"/>
    <n v="4863"/>
    <n v="855"/>
    <n v="2720"/>
    <n v="66714"/>
    <n v="1848"/>
    <n v="3506"/>
    <n v="1432"/>
    <n v="1328"/>
    <n v="468"/>
    <n v="2621"/>
    <n v="624"/>
    <n v="1922"/>
    <n v="1764"/>
    <n v="3216"/>
    <n v="995"/>
    <n v="1079"/>
    <n v="923"/>
    <n v="824"/>
    <n v="4198"/>
    <n v="2202"/>
    <n v="1627"/>
    <n v="1352"/>
    <n v="2165"/>
    <n v="2116"/>
  </r>
  <r>
    <x v="7"/>
    <n v="889"/>
    <n v="1162"/>
    <n v="1663"/>
    <n v="2564"/>
    <n v="5342"/>
    <n v="2212"/>
    <n v="5912"/>
    <n v="2974"/>
    <n v="5053"/>
    <n v="893"/>
    <n v="2659"/>
    <n v="69001"/>
    <n v="1957"/>
    <n v="3655"/>
    <n v="1467"/>
    <n v="1409"/>
    <n v="493"/>
    <n v="2603"/>
    <n v="676"/>
    <n v="1950"/>
    <n v="1798"/>
    <n v="3439"/>
    <n v="968"/>
    <n v="1238"/>
    <n v="1011"/>
    <n v="934"/>
    <n v="4394"/>
    <n v="2236"/>
    <n v="1689"/>
    <n v="1331"/>
    <n v="2233"/>
    <n v="2197"/>
  </r>
  <r>
    <x v="8"/>
    <n v="819"/>
    <n v="1217"/>
    <n v="1670"/>
    <n v="2516"/>
    <n v="5410"/>
    <n v="2319"/>
    <n v="6086"/>
    <n v="2985"/>
    <n v="5360"/>
    <n v="923"/>
    <n v="2915"/>
    <n v="70733"/>
    <n v="1876"/>
    <n v="3699"/>
    <n v="1483"/>
    <n v="1446"/>
    <n v="509"/>
    <n v="2770"/>
    <n v="661"/>
    <n v="2059"/>
    <n v="1792"/>
    <n v="3593"/>
    <n v="991"/>
    <n v="1216"/>
    <n v="982"/>
    <n v="942"/>
    <n v="4503"/>
    <n v="2314"/>
    <n v="1736"/>
    <n v="1412"/>
    <n v="2292"/>
    <n v="2237"/>
  </r>
  <r>
    <x v="9"/>
    <n v="882"/>
    <n v="1289"/>
    <n v="1806"/>
    <n v="2617"/>
    <n v="5501"/>
    <n v="2391"/>
    <n v="5970"/>
    <n v="3004"/>
    <n v="5400"/>
    <n v="942"/>
    <n v="2890"/>
    <n v="72196"/>
    <n v="2071"/>
    <n v="3832"/>
    <n v="1529"/>
    <n v="1435"/>
    <n v="542"/>
    <n v="2825"/>
    <n v="746"/>
    <n v="2124"/>
    <n v="1886"/>
    <n v="3637"/>
    <n v="990"/>
    <n v="1210"/>
    <n v="1029"/>
    <n v="960"/>
    <n v="4522"/>
    <n v="2267"/>
    <n v="1727"/>
    <n v="1454"/>
    <n v="2354"/>
    <n v="2364"/>
  </r>
  <r>
    <x v="10"/>
    <n v="921"/>
    <n v="1312"/>
    <n v="1874"/>
    <n v="2580"/>
    <n v="5652"/>
    <n v="2510"/>
    <n v="6174"/>
    <n v="3035"/>
    <n v="5674"/>
    <n v="888"/>
    <n v="2974"/>
    <n v="74101"/>
    <n v="2066"/>
    <n v="3875"/>
    <n v="1618"/>
    <n v="1562"/>
    <n v="502"/>
    <n v="2868"/>
    <n v="728"/>
    <n v="2125"/>
    <n v="1907"/>
    <n v="3756"/>
    <n v="1034"/>
    <n v="1293"/>
    <n v="1008"/>
    <n v="1018"/>
    <n v="4797"/>
    <n v="2475"/>
    <n v="1775"/>
    <n v="1405"/>
    <n v="2373"/>
    <n v="2322"/>
  </r>
  <r>
    <x v="11"/>
    <n v="964"/>
    <n v="1328"/>
    <n v="1821"/>
    <n v="2695"/>
    <n v="5852"/>
    <n v="2584"/>
    <n v="6056"/>
    <n v="3020"/>
    <n v="5467"/>
    <n v="971"/>
    <n v="2978"/>
    <n v="75159"/>
    <n v="2116"/>
    <n v="4081"/>
    <n v="1609"/>
    <n v="1553"/>
    <n v="531"/>
    <n v="2979"/>
    <n v="734"/>
    <n v="2186"/>
    <n v="1975"/>
    <n v="3898"/>
    <n v="1007"/>
    <n v="1267"/>
    <n v="1058"/>
    <n v="956"/>
    <n v="4732"/>
    <n v="2431"/>
    <n v="1877"/>
    <n v="1484"/>
    <n v="2410"/>
    <n v="2539"/>
  </r>
  <r>
    <x v="12"/>
    <n v="908"/>
    <n v="1317"/>
    <n v="1983"/>
    <n v="2690"/>
    <n v="5901"/>
    <n v="2624"/>
    <n v="6284"/>
    <n v="2991"/>
    <n v="5792"/>
    <n v="881"/>
    <n v="2943"/>
    <n v="76254"/>
    <n v="2255"/>
    <n v="4041"/>
    <n v="1600"/>
    <n v="1625"/>
    <n v="532"/>
    <n v="2883"/>
    <n v="731"/>
    <n v="2211"/>
    <n v="1962"/>
    <n v="3876"/>
    <n v="1057"/>
    <n v="1300"/>
    <n v="1047"/>
    <n v="1027"/>
    <n v="4855"/>
    <n v="2571"/>
    <n v="1933"/>
    <n v="1466"/>
    <n v="2443"/>
    <n v="2525"/>
  </r>
  <r>
    <x v="13"/>
    <n v="943"/>
    <n v="1343"/>
    <n v="1874"/>
    <n v="2594"/>
    <n v="5833"/>
    <n v="2632"/>
    <n v="6039"/>
    <n v="2976"/>
    <n v="5485"/>
    <n v="979"/>
    <n v="3039"/>
    <n v="75256"/>
    <n v="2194"/>
    <n v="3967"/>
    <n v="1612"/>
    <n v="1533"/>
    <n v="497"/>
    <n v="2951"/>
    <n v="763"/>
    <n v="2303"/>
    <n v="1888"/>
    <n v="3785"/>
    <n v="1050"/>
    <n v="1356"/>
    <n v="1037"/>
    <n v="983"/>
    <n v="4677"/>
    <n v="2502"/>
    <n v="1927"/>
    <n v="1426"/>
    <n v="2621"/>
    <n v="2447"/>
  </r>
  <r>
    <x v="14"/>
    <n v="951"/>
    <n v="1262"/>
    <n v="1848"/>
    <n v="2541"/>
    <n v="5634"/>
    <n v="2610"/>
    <n v="5748"/>
    <n v="2917"/>
    <n v="5298"/>
    <n v="881"/>
    <n v="3044"/>
    <n v="73432"/>
    <n v="2200"/>
    <n v="3944"/>
    <n v="1547"/>
    <n v="1553"/>
    <n v="495"/>
    <n v="2898"/>
    <n v="724"/>
    <n v="2161"/>
    <n v="1916"/>
    <n v="3694"/>
    <n v="1024"/>
    <n v="1276"/>
    <n v="996"/>
    <n v="992"/>
    <n v="4581"/>
    <n v="2522"/>
    <n v="1856"/>
    <n v="1422"/>
    <n v="2413"/>
    <n v="2484"/>
  </r>
  <r>
    <x v="15"/>
    <n v="843"/>
    <n v="1271"/>
    <n v="1888"/>
    <n v="2551"/>
    <n v="5424"/>
    <n v="2473"/>
    <n v="5442"/>
    <n v="2775"/>
    <n v="4948"/>
    <n v="877"/>
    <n v="2775"/>
    <n v="70440"/>
    <n v="2128"/>
    <n v="3750"/>
    <n v="1588"/>
    <n v="1474"/>
    <n v="528"/>
    <n v="2744"/>
    <n v="742"/>
    <n v="2140"/>
    <n v="1840"/>
    <n v="3500"/>
    <n v="961"/>
    <n v="1252"/>
    <n v="1002"/>
    <n v="954"/>
    <n v="4273"/>
    <n v="2428"/>
    <n v="1826"/>
    <n v="1362"/>
    <n v="2361"/>
    <n v="2320"/>
  </r>
  <r>
    <x v="16"/>
    <n v="873"/>
    <n v="1161"/>
    <n v="1850"/>
    <n v="2421"/>
    <n v="5171"/>
    <n v="2441"/>
    <n v="5408"/>
    <n v="2733"/>
    <n v="4531"/>
    <n v="862"/>
    <n v="2963"/>
    <n v="67814"/>
    <n v="2007"/>
    <n v="3516"/>
    <n v="1456"/>
    <n v="1313"/>
    <n v="494"/>
    <n v="2727"/>
    <n v="667"/>
    <n v="2071"/>
    <n v="1878"/>
    <n v="3275"/>
    <n v="911"/>
    <n v="1166"/>
    <n v="1014"/>
    <n v="916"/>
    <n v="4082"/>
    <n v="2312"/>
    <n v="1811"/>
    <n v="1348"/>
    <n v="2305"/>
    <n v="2131"/>
  </r>
  <r>
    <x v="17"/>
    <n v="877"/>
    <n v="1186"/>
    <n v="1844"/>
    <n v="2447"/>
    <n v="5105"/>
    <n v="2366"/>
    <n v="5640"/>
    <n v="2772"/>
    <n v="4566"/>
    <n v="854"/>
    <n v="2786"/>
    <n v="68026"/>
    <n v="2103"/>
    <n v="3618"/>
    <n v="1465"/>
    <n v="1421"/>
    <n v="496"/>
    <n v="2615"/>
    <n v="645"/>
    <n v="2041"/>
    <n v="1831"/>
    <n v="3195"/>
    <n v="976"/>
    <n v="1162"/>
    <n v="963"/>
    <n v="933"/>
    <n v="4112"/>
    <n v="2456"/>
    <n v="1725"/>
    <n v="1328"/>
    <n v="2266"/>
    <n v="2232"/>
  </r>
  <r>
    <x v="18"/>
    <n v="903"/>
    <n v="1107"/>
    <n v="1690"/>
    <n v="2648"/>
    <n v="4786"/>
    <n v="2285"/>
    <n v="6434"/>
    <n v="2938"/>
    <n v="4473"/>
    <n v="1033"/>
    <n v="2546"/>
    <n v="66752"/>
    <n v="1928"/>
    <n v="3596"/>
    <n v="1414"/>
    <n v="1299"/>
    <n v="449"/>
    <n v="2701"/>
    <n v="609"/>
    <n v="1952"/>
    <n v="1749"/>
    <n v="3089"/>
    <n v="799"/>
    <n v="1221"/>
    <n v="899"/>
    <n v="897"/>
    <n v="3971"/>
    <n v="2135"/>
    <n v="1699"/>
    <n v="1264"/>
    <n v="2226"/>
    <n v="2012"/>
  </r>
  <r>
    <x v="19"/>
    <n v="827"/>
    <n v="915"/>
    <n v="1650"/>
    <n v="3405"/>
    <n v="4230"/>
    <n v="1813"/>
    <n v="7345"/>
    <n v="3236"/>
    <n v="4358"/>
    <n v="1764"/>
    <n v="2251"/>
    <n v="64596"/>
    <n v="1678"/>
    <n v="3490"/>
    <n v="1125"/>
    <n v="1130"/>
    <n v="329"/>
    <n v="2889"/>
    <n v="563"/>
    <n v="1770"/>
    <n v="1418"/>
    <n v="2892"/>
    <n v="734"/>
    <n v="1018"/>
    <n v="728"/>
    <n v="922"/>
    <n v="3952"/>
    <n v="1776"/>
    <n v="1593"/>
    <n v="1117"/>
    <n v="1813"/>
    <n v="1865"/>
  </r>
  <r>
    <x v="20"/>
    <n v="810"/>
    <n v="843"/>
    <n v="1567"/>
    <n v="3541"/>
    <n v="3787"/>
    <n v="1805"/>
    <n v="8103"/>
    <n v="3277"/>
    <n v="4153"/>
    <n v="2024"/>
    <n v="2052"/>
    <n v="63744"/>
    <n v="1630"/>
    <n v="3333"/>
    <n v="1089"/>
    <n v="1047"/>
    <n v="344"/>
    <n v="2932"/>
    <n v="561"/>
    <n v="1917"/>
    <n v="1310"/>
    <n v="2730"/>
    <n v="653"/>
    <n v="991"/>
    <n v="696"/>
    <n v="877"/>
    <n v="3700"/>
    <n v="1823"/>
    <n v="1564"/>
    <n v="1105"/>
    <n v="1764"/>
    <n v="1716"/>
  </r>
  <r>
    <x v="21"/>
    <n v="813"/>
    <n v="832"/>
    <n v="1352"/>
    <n v="3518"/>
    <n v="3571"/>
    <n v="1708"/>
    <n v="8140"/>
    <n v="3085"/>
    <n v="3792"/>
    <n v="2084"/>
    <n v="1850"/>
    <n v="60661"/>
    <n v="1518"/>
    <n v="3050"/>
    <n v="1045"/>
    <n v="1025"/>
    <n v="277"/>
    <n v="2657"/>
    <n v="507"/>
    <n v="1711"/>
    <n v="1263"/>
    <n v="2546"/>
    <n v="668"/>
    <n v="882"/>
    <n v="688"/>
    <n v="858"/>
    <n v="3683"/>
    <n v="1755"/>
    <n v="1481"/>
    <n v="1097"/>
    <n v="1582"/>
    <n v="1623"/>
  </r>
  <r>
    <x v="22"/>
    <n v="769"/>
    <n v="855"/>
    <n v="1503"/>
    <n v="3677"/>
    <n v="3552"/>
    <n v="1731"/>
    <n v="9091"/>
    <n v="3242"/>
    <n v="3827"/>
    <n v="1964"/>
    <n v="1776"/>
    <n v="62218"/>
    <n v="1556"/>
    <n v="2890"/>
    <n v="993"/>
    <n v="994"/>
    <n v="322"/>
    <n v="2951"/>
    <n v="516"/>
    <n v="1718"/>
    <n v="1294"/>
    <n v="2430"/>
    <n v="667"/>
    <n v="915"/>
    <n v="665"/>
    <n v="815"/>
    <n v="3724"/>
    <n v="1782"/>
    <n v="1471"/>
    <n v="1103"/>
    <n v="1766"/>
    <n v="1659"/>
  </r>
  <r>
    <x v="23"/>
    <n v="720"/>
    <n v="875"/>
    <n v="1281"/>
    <n v="3500"/>
    <n v="3388"/>
    <n v="1571"/>
    <n v="9981"/>
    <n v="3247"/>
    <n v="3733"/>
    <n v="1722"/>
    <n v="1726"/>
    <n v="60922"/>
    <n v="1597"/>
    <n v="2860"/>
    <n v="994"/>
    <n v="961"/>
    <n v="329"/>
    <n v="2597"/>
    <n v="498"/>
    <n v="1579"/>
    <n v="1242"/>
    <n v="2320"/>
    <n v="662"/>
    <n v="894"/>
    <n v="643"/>
    <n v="752"/>
    <n v="3783"/>
    <n v="1696"/>
    <n v="1462"/>
    <n v="1052"/>
    <n v="1722"/>
    <n v="1535"/>
  </r>
  <r>
    <x v="24"/>
    <n v="669"/>
    <n v="827"/>
    <n v="1255"/>
    <n v="3417"/>
    <n v="3263"/>
    <n v="1557"/>
    <n v="10592"/>
    <n v="3169"/>
    <n v="3592"/>
    <n v="1727"/>
    <n v="1651"/>
    <n v="59598"/>
    <n v="1482"/>
    <n v="2675"/>
    <n v="1036"/>
    <n v="905"/>
    <n v="272"/>
    <n v="2545"/>
    <n v="446"/>
    <n v="1469"/>
    <n v="1159"/>
    <n v="2253"/>
    <n v="664"/>
    <n v="887"/>
    <n v="561"/>
    <n v="737"/>
    <n v="3650"/>
    <n v="1709"/>
    <n v="1349"/>
    <n v="1077"/>
    <n v="1595"/>
    <n v="1408"/>
  </r>
  <r>
    <x v="25"/>
    <n v="625"/>
    <n v="841"/>
    <n v="1258"/>
    <n v="3512"/>
    <n v="3092"/>
    <n v="1476"/>
    <n v="11301"/>
    <n v="3110"/>
    <n v="3627"/>
    <n v="1651"/>
    <n v="1620"/>
    <n v="59263"/>
    <n v="1480"/>
    <n v="2651"/>
    <n v="1002"/>
    <n v="851"/>
    <n v="286"/>
    <n v="2626"/>
    <n v="441"/>
    <n v="1415"/>
    <n v="1136"/>
    <n v="2042"/>
    <n v="598"/>
    <n v="854"/>
    <n v="612"/>
    <n v="710"/>
    <n v="3634"/>
    <n v="1622"/>
    <n v="1267"/>
    <n v="1041"/>
    <n v="1537"/>
    <n v="1345"/>
  </r>
  <r>
    <x v="26"/>
    <n v="663"/>
    <n v="777"/>
    <n v="1179"/>
    <n v="3390"/>
    <n v="3074"/>
    <n v="1507"/>
    <n v="11664"/>
    <n v="3065"/>
    <n v="3581"/>
    <n v="1522"/>
    <n v="1549"/>
    <n v="58240"/>
    <n v="1368"/>
    <n v="2443"/>
    <n v="966"/>
    <n v="892"/>
    <n v="282"/>
    <n v="2557"/>
    <n v="487"/>
    <n v="1339"/>
    <n v="1128"/>
    <n v="2007"/>
    <n v="615"/>
    <n v="790"/>
    <n v="580"/>
    <n v="629"/>
    <n v="3394"/>
    <n v="1530"/>
    <n v="1264"/>
    <n v="1038"/>
    <n v="1580"/>
    <n v="1380"/>
  </r>
  <r>
    <x v="27"/>
    <n v="658"/>
    <n v="750"/>
    <n v="1180"/>
    <n v="3461"/>
    <n v="3045"/>
    <n v="1442"/>
    <n v="11941"/>
    <n v="2989"/>
    <n v="3641"/>
    <n v="1435"/>
    <n v="1405"/>
    <n v="58690"/>
    <n v="1411"/>
    <n v="2585"/>
    <n v="972"/>
    <n v="897"/>
    <n v="275"/>
    <n v="2467"/>
    <n v="462"/>
    <n v="1462"/>
    <n v="1115"/>
    <n v="2037"/>
    <n v="639"/>
    <n v="822"/>
    <n v="568"/>
    <n v="631"/>
    <n v="3538"/>
    <n v="1547"/>
    <n v="1304"/>
    <n v="1029"/>
    <n v="1582"/>
    <n v="1400"/>
  </r>
  <r>
    <x v="28"/>
    <n v="633"/>
    <n v="752"/>
    <n v="1187"/>
    <n v="3461"/>
    <n v="3066"/>
    <n v="1475"/>
    <n v="12020"/>
    <n v="2869"/>
    <n v="3597"/>
    <n v="1458"/>
    <n v="1554"/>
    <n v="58690"/>
    <n v="1345"/>
    <n v="2558"/>
    <n v="1016"/>
    <n v="871"/>
    <n v="291"/>
    <n v="2373"/>
    <n v="442"/>
    <n v="1498"/>
    <n v="1180"/>
    <n v="2096"/>
    <n v="588"/>
    <n v="829"/>
    <n v="580"/>
    <n v="615"/>
    <n v="3546"/>
    <n v="1576"/>
    <n v="1262"/>
    <n v="972"/>
    <n v="1537"/>
    <n v="1443"/>
  </r>
  <r>
    <x v="29"/>
    <n v="713"/>
    <n v="791"/>
    <n v="1188"/>
    <n v="3467"/>
    <n v="3242"/>
    <n v="1536"/>
    <n v="12132"/>
    <n v="2897"/>
    <n v="3797"/>
    <n v="1468"/>
    <n v="1712"/>
    <n v="60925"/>
    <n v="1443"/>
    <n v="2715"/>
    <n v="1089"/>
    <n v="901"/>
    <n v="301"/>
    <n v="2490"/>
    <n v="461"/>
    <n v="1505"/>
    <n v="1257"/>
    <n v="2169"/>
    <n v="674"/>
    <n v="842"/>
    <n v="629"/>
    <n v="707"/>
    <n v="3636"/>
    <n v="1620"/>
    <n v="1320"/>
    <n v="1095"/>
    <n v="1629"/>
    <n v="1499"/>
  </r>
  <r>
    <x v="30"/>
    <n v="705"/>
    <n v="841"/>
    <n v="1209"/>
    <n v="3437"/>
    <n v="3545"/>
    <n v="1694"/>
    <n v="12341"/>
    <n v="3112"/>
    <n v="3976"/>
    <n v="1402"/>
    <n v="1803"/>
    <n v="63699"/>
    <n v="1591"/>
    <n v="2860"/>
    <n v="1065"/>
    <n v="987"/>
    <n v="336"/>
    <n v="2515"/>
    <n v="550"/>
    <n v="1570"/>
    <n v="1353"/>
    <n v="2353"/>
    <n v="732"/>
    <n v="940"/>
    <n v="675"/>
    <n v="668"/>
    <n v="3821"/>
    <n v="1744"/>
    <n v="1434"/>
    <n v="1098"/>
    <n v="1817"/>
    <n v="1525"/>
  </r>
  <r>
    <x v="31"/>
    <n v="739"/>
    <n v="907"/>
    <n v="1331"/>
    <n v="3581"/>
    <n v="3695"/>
    <n v="1723"/>
    <n v="12366"/>
    <n v="3065"/>
    <n v="4241"/>
    <n v="1464"/>
    <n v="1930"/>
    <n v="65947"/>
    <n v="1585"/>
    <n v="2990"/>
    <n v="1213"/>
    <n v="1021"/>
    <n v="366"/>
    <n v="2522"/>
    <n v="484"/>
    <n v="1676"/>
    <n v="1456"/>
    <n v="2583"/>
    <n v="738"/>
    <n v="925"/>
    <n v="728"/>
    <n v="695"/>
    <n v="3963"/>
    <n v="1775"/>
    <n v="1461"/>
    <n v="1192"/>
    <n v="1859"/>
    <n v="1673"/>
  </r>
  <r>
    <x v="32"/>
    <n v="746"/>
    <n v="996"/>
    <n v="1330"/>
    <n v="3564"/>
    <n v="3841"/>
    <n v="1863"/>
    <n v="12044"/>
    <n v="3165"/>
    <n v="4328"/>
    <n v="1354"/>
    <n v="1954"/>
    <n v="66795"/>
    <n v="1697"/>
    <n v="3013"/>
    <n v="1150"/>
    <n v="1089"/>
    <n v="380"/>
    <n v="2672"/>
    <n v="538"/>
    <n v="1655"/>
    <n v="1430"/>
    <n v="2681"/>
    <n v="713"/>
    <n v="923"/>
    <n v="736"/>
    <n v="742"/>
    <n v="4048"/>
    <n v="1814"/>
    <n v="1550"/>
    <n v="1195"/>
    <n v="1882"/>
    <n v="1702"/>
  </r>
  <r>
    <x v="33"/>
    <n v="750"/>
    <n v="955"/>
    <n v="1338"/>
    <n v="3338"/>
    <n v="3933"/>
    <n v="1829"/>
    <n v="11434"/>
    <n v="3023"/>
    <n v="4596"/>
    <n v="1222"/>
    <n v="2096"/>
    <n v="66377"/>
    <n v="1674"/>
    <n v="3187"/>
    <n v="1131"/>
    <n v="1121"/>
    <n v="379"/>
    <n v="2623"/>
    <n v="549"/>
    <n v="1736"/>
    <n v="1519"/>
    <n v="2655"/>
    <n v="701"/>
    <n v="934"/>
    <n v="732"/>
    <n v="753"/>
    <n v="4079"/>
    <n v="1829"/>
    <n v="1462"/>
    <n v="1189"/>
    <n v="1830"/>
    <n v="1780"/>
  </r>
  <r>
    <x v="34"/>
    <n v="774"/>
    <n v="988"/>
    <n v="1455"/>
    <n v="3410"/>
    <n v="4254"/>
    <n v="2023"/>
    <n v="11048"/>
    <n v="3044"/>
    <n v="4787"/>
    <n v="1332"/>
    <n v="2233"/>
    <n v="69405"/>
    <n v="1724"/>
    <n v="3343"/>
    <n v="1230"/>
    <n v="1179"/>
    <n v="409"/>
    <n v="2738"/>
    <n v="628"/>
    <n v="1831"/>
    <n v="1634"/>
    <n v="2906"/>
    <n v="839"/>
    <n v="1035"/>
    <n v="782"/>
    <n v="786"/>
    <n v="4370"/>
    <n v="1963"/>
    <n v="1557"/>
    <n v="1238"/>
    <n v="2019"/>
    <n v="1846"/>
  </r>
  <r>
    <x v="35"/>
    <n v="833"/>
    <n v="1079"/>
    <n v="1516"/>
    <n v="3467"/>
    <n v="4611"/>
    <n v="2016"/>
    <n v="10932"/>
    <n v="3054"/>
    <n v="5012"/>
    <n v="1277"/>
    <n v="2431"/>
    <n v="72635"/>
    <n v="1862"/>
    <n v="3586"/>
    <n v="1375"/>
    <n v="1353"/>
    <n v="443"/>
    <n v="2872"/>
    <n v="613"/>
    <n v="1912"/>
    <n v="1692"/>
    <n v="3156"/>
    <n v="850"/>
    <n v="1074"/>
    <n v="896"/>
    <n v="840"/>
    <n v="4463"/>
    <n v="2157"/>
    <n v="1745"/>
    <n v="1397"/>
    <n v="2138"/>
    <n v="1983"/>
  </r>
  <r>
    <x v="36"/>
    <n v="835"/>
    <n v="1151"/>
    <n v="1593"/>
    <n v="3461"/>
    <n v="4782"/>
    <n v="2112"/>
    <n v="10619"/>
    <n v="3188"/>
    <n v="5327"/>
    <n v="1332"/>
    <n v="2494"/>
    <n v="74858"/>
    <n v="2024"/>
    <n v="3748"/>
    <n v="1342"/>
    <n v="1384"/>
    <n v="451"/>
    <n v="3012"/>
    <n v="678"/>
    <n v="1980"/>
    <n v="1780"/>
    <n v="3249"/>
    <n v="894"/>
    <n v="1102"/>
    <n v="924"/>
    <n v="935"/>
    <n v="4843"/>
    <n v="2146"/>
    <n v="1737"/>
    <n v="1502"/>
    <n v="2131"/>
    <n v="2102"/>
  </r>
  <r>
    <x v="37"/>
    <n v="908"/>
    <n v="1182"/>
    <n v="1711"/>
    <n v="3631"/>
    <n v="4966"/>
    <n v="2106"/>
    <n v="10110"/>
    <n v="3237"/>
    <n v="5336"/>
    <n v="1307"/>
    <n v="2597"/>
    <n v="75620"/>
    <n v="2070"/>
    <n v="3846"/>
    <n v="1365"/>
    <n v="1441"/>
    <n v="445"/>
    <n v="3023"/>
    <n v="620"/>
    <n v="1922"/>
    <n v="1872"/>
    <n v="3332"/>
    <n v="924"/>
    <n v="1161"/>
    <n v="949"/>
    <n v="938"/>
    <n v="4868"/>
    <n v="2159"/>
    <n v="1712"/>
    <n v="1438"/>
    <n v="2177"/>
    <n v="2267"/>
  </r>
  <r>
    <x v="38"/>
    <n v="948"/>
    <n v="1267"/>
    <n v="1818"/>
    <n v="3465"/>
    <n v="5184"/>
    <n v="2155"/>
    <n v="10136"/>
    <n v="3445"/>
    <n v="5608"/>
    <n v="1331"/>
    <n v="2751"/>
    <n v="78415"/>
    <n v="2253"/>
    <n v="4003"/>
    <n v="1486"/>
    <n v="1538"/>
    <n v="483"/>
    <n v="3115"/>
    <n v="711"/>
    <n v="2091"/>
    <n v="1855"/>
    <n v="3457"/>
    <n v="956"/>
    <n v="1175"/>
    <n v="1005"/>
    <n v="1016"/>
    <n v="4929"/>
    <n v="2318"/>
    <n v="1805"/>
    <n v="1451"/>
    <n v="2306"/>
    <n v="2354"/>
  </r>
  <r>
    <x v="39"/>
    <n v="1006"/>
    <n v="1297"/>
    <n v="1774"/>
    <n v="3579"/>
    <n v="5638"/>
    <n v="2358"/>
    <n v="9898"/>
    <n v="3545"/>
    <n v="5927"/>
    <n v="1391"/>
    <n v="2941"/>
    <n v="81341"/>
    <n v="2251"/>
    <n v="4331"/>
    <n v="1588"/>
    <n v="1601"/>
    <n v="495"/>
    <n v="3230"/>
    <n v="725"/>
    <n v="2093"/>
    <n v="1992"/>
    <n v="3610"/>
    <n v="1043"/>
    <n v="1249"/>
    <n v="979"/>
    <n v="1023"/>
    <n v="5217"/>
    <n v="2436"/>
    <n v="1828"/>
    <n v="1515"/>
    <n v="2308"/>
    <n v="2473"/>
  </r>
  <r>
    <x v="40"/>
    <n v="981"/>
    <n v="1263"/>
    <n v="1906"/>
    <n v="3629"/>
    <n v="5802"/>
    <n v="2442"/>
    <n v="9770"/>
    <n v="3646"/>
    <n v="6104"/>
    <n v="1394"/>
    <n v="3095"/>
    <n v="83444"/>
    <n v="2351"/>
    <n v="4366"/>
    <n v="1586"/>
    <n v="1561"/>
    <n v="516"/>
    <n v="3294"/>
    <n v="805"/>
    <n v="2289"/>
    <n v="2069"/>
    <n v="3714"/>
    <n v="995"/>
    <n v="1397"/>
    <n v="1045"/>
    <n v="1029"/>
    <n v="5397"/>
    <n v="2523"/>
    <n v="1876"/>
    <n v="1504"/>
    <n v="2519"/>
    <n v="2576"/>
  </r>
  <r>
    <x v="41"/>
    <n v="1024"/>
    <n v="1332"/>
    <n v="1983"/>
    <n v="3561"/>
    <n v="5991"/>
    <n v="2487"/>
    <n v="9839"/>
    <n v="3739"/>
    <n v="6243"/>
    <n v="1379"/>
    <n v="3183"/>
    <n v="85097"/>
    <n v="2393"/>
    <n v="4450"/>
    <n v="1670"/>
    <n v="1629"/>
    <n v="540"/>
    <n v="3345"/>
    <n v="777"/>
    <n v="2310"/>
    <n v="2069"/>
    <n v="3818"/>
    <n v="1072"/>
    <n v="1318"/>
    <n v="1100"/>
    <n v="1055"/>
    <n v="5402"/>
    <n v="2580"/>
    <n v="1999"/>
    <n v="1561"/>
    <n v="2613"/>
    <n v="2635"/>
  </r>
  <r>
    <x v="42"/>
    <n v="1045"/>
    <n v="1280"/>
    <n v="2029"/>
    <n v="3435"/>
    <n v="6116"/>
    <n v="2512"/>
    <n v="9325"/>
    <n v="3690"/>
    <n v="6350"/>
    <n v="1415"/>
    <n v="3155"/>
    <n v="84981"/>
    <n v="2507"/>
    <n v="4410"/>
    <n v="1615"/>
    <n v="1635"/>
    <n v="538"/>
    <n v="3288"/>
    <n v="822"/>
    <n v="2322"/>
    <n v="2021"/>
    <n v="3899"/>
    <n v="976"/>
    <n v="1333"/>
    <n v="1079"/>
    <n v="1089"/>
    <n v="5428"/>
    <n v="2581"/>
    <n v="2094"/>
    <n v="1539"/>
    <n v="2709"/>
    <n v="2744"/>
  </r>
  <r>
    <x v="43"/>
    <n v="950"/>
    <n v="1243"/>
    <n v="1881"/>
    <n v="3287"/>
    <n v="5909"/>
    <n v="2427"/>
    <n v="8851"/>
    <n v="3477"/>
    <n v="6013"/>
    <n v="1266"/>
    <n v="3028"/>
    <n v="80683"/>
    <n v="2387"/>
    <n v="4235"/>
    <n v="1612"/>
    <n v="1460"/>
    <n v="526"/>
    <n v="3152"/>
    <n v="744"/>
    <n v="2096"/>
    <n v="1919"/>
    <n v="3773"/>
    <n v="985"/>
    <n v="1236"/>
    <n v="1007"/>
    <n v="1039"/>
    <n v="5275"/>
    <n v="2485"/>
    <n v="1983"/>
    <n v="1462"/>
    <n v="2445"/>
    <n v="2530"/>
  </r>
  <r>
    <x v="44"/>
    <n v="907"/>
    <n v="1216"/>
    <n v="1871"/>
    <n v="3103"/>
    <n v="5667"/>
    <n v="2426"/>
    <n v="8370"/>
    <n v="3246"/>
    <n v="5683"/>
    <n v="1213"/>
    <n v="3027"/>
    <n v="77319"/>
    <n v="2349"/>
    <n v="3988"/>
    <n v="1597"/>
    <n v="1467"/>
    <n v="518"/>
    <n v="3054"/>
    <n v="674"/>
    <n v="2109"/>
    <n v="1911"/>
    <n v="3614"/>
    <n v="938"/>
    <n v="1240"/>
    <n v="981"/>
    <n v="981"/>
    <n v="4623"/>
    <n v="2382"/>
    <n v="1940"/>
    <n v="1394"/>
    <n v="2315"/>
    <n v="2515"/>
  </r>
  <r>
    <x v="45"/>
    <n v="945"/>
    <n v="1125"/>
    <n v="1876"/>
    <n v="3078"/>
    <n v="5719"/>
    <n v="2428"/>
    <n v="7914"/>
    <n v="3052"/>
    <n v="5650"/>
    <n v="1215"/>
    <n v="3038"/>
    <n v="76216"/>
    <n v="2264"/>
    <n v="3966"/>
    <n v="1551"/>
    <n v="1422"/>
    <n v="506"/>
    <n v="3059"/>
    <n v="756"/>
    <n v="2031"/>
    <n v="1877"/>
    <n v="3524"/>
    <n v="969"/>
    <n v="1219"/>
    <n v="951"/>
    <n v="1000"/>
    <n v="4504"/>
    <n v="2443"/>
    <n v="1919"/>
    <n v="1377"/>
    <n v="2421"/>
    <n v="2417"/>
  </r>
  <r>
    <x v="46"/>
    <n v="949"/>
    <n v="1152"/>
    <n v="1952"/>
    <n v="3035"/>
    <n v="5624"/>
    <n v="2428"/>
    <n v="7704"/>
    <n v="3152"/>
    <n v="5452"/>
    <n v="1210"/>
    <n v="2958"/>
    <n v="75416"/>
    <n v="2273"/>
    <n v="3946"/>
    <n v="1620"/>
    <n v="1376"/>
    <n v="490"/>
    <n v="3023"/>
    <n v="667"/>
    <n v="2117"/>
    <n v="1950"/>
    <n v="3594"/>
    <n v="935"/>
    <n v="1241"/>
    <n v="1000"/>
    <n v="975"/>
    <n v="4446"/>
    <n v="2346"/>
    <n v="1799"/>
    <n v="1305"/>
    <n v="2289"/>
    <n v="2408"/>
  </r>
  <r>
    <x v="47"/>
    <n v="871"/>
    <n v="1158"/>
    <n v="1795"/>
    <n v="2969"/>
    <n v="5651"/>
    <n v="2322"/>
    <n v="7408"/>
    <n v="3137"/>
    <n v="5484"/>
    <n v="1141"/>
    <n v="2896"/>
    <n v="74524"/>
    <n v="2296"/>
    <n v="3857"/>
    <n v="1540"/>
    <n v="1339"/>
    <n v="493"/>
    <n v="2973"/>
    <n v="681"/>
    <n v="2031"/>
    <n v="1864"/>
    <n v="3564"/>
    <n v="942"/>
    <n v="1224"/>
    <n v="1031"/>
    <n v="1023"/>
    <n v="4247"/>
    <n v="2500"/>
    <n v="1830"/>
    <n v="1454"/>
    <n v="2345"/>
    <n v="2458"/>
  </r>
  <r>
    <x v="48"/>
    <n v="841"/>
    <n v="1161"/>
    <n v="1920"/>
    <n v="2811"/>
    <n v="5576"/>
    <n v="2354"/>
    <n v="7478"/>
    <n v="3184"/>
    <n v="5310"/>
    <n v="1038"/>
    <n v="2948"/>
    <n v="73617"/>
    <n v="2228"/>
    <n v="3879"/>
    <n v="1561"/>
    <n v="1368"/>
    <n v="499"/>
    <n v="2898"/>
    <n v="626"/>
    <n v="2062"/>
    <n v="1863"/>
    <n v="3426"/>
    <n v="892"/>
    <n v="1204"/>
    <n v="992"/>
    <n v="945"/>
    <n v="4243"/>
    <n v="2392"/>
    <n v="1798"/>
    <n v="1392"/>
    <n v="2313"/>
    <n v="2415"/>
  </r>
  <r>
    <x v="49"/>
    <n v="946"/>
    <n v="1093"/>
    <n v="1923"/>
    <n v="2842"/>
    <n v="5460"/>
    <n v="2397"/>
    <n v="7404"/>
    <n v="3159"/>
    <n v="5147"/>
    <n v="1018"/>
    <n v="2967"/>
    <n v="73731"/>
    <n v="2284"/>
    <n v="3914"/>
    <n v="1614"/>
    <n v="1319"/>
    <n v="492"/>
    <n v="2923"/>
    <n v="688"/>
    <n v="2084"/>
    <n v="1885"/>
    <n v="3450"/>
    <n v="911"/>
    <n v="1184"/>
    <n v="957"/>
    <n v="981"/>
    <n v="4193"/>
    <n v="2505"/>
    <n v="1826"/>
    <n v="1341"/>
    <n v="2413"/>
    <n v="2411"/>
  </r>
  <r>
    <x v="50"/>
    <n v="897"/>
    <n v="1160"/>
    <n v="1979"/>
    <n v="2894"/>
    <n v="5363"/>
    <n v="2389"/>
    <n v="7474"/>
    <n v="3101"/>
    <n v="4904"/>
    <n v="975"/>
    <n v="2826"/>
    <n v="72249"/>
    <n v="2261"/>
    <n v="3778"/>
    <n v="1503"/>
    <n v="1339"/>
    <n v="504"/>
    <n v="2867"/>
    <n v="621"/>
    <n v="2093"/>
    <n v="1893"/>
    <n v="3410"/>
    <n v="879"/>
    <n v="1183"/>
    <n v="990"/>
    <n v="911"/>
    <n v="3895"/>
    <n v="2305"/>
    <n v="1754"/>
    <n v="1329"/>
    <n v="2437"/>
    <n v="2335"/>
  </r>
  <r>
    <x v="51"/>
    <n v="815"/>
    <n v="1117"/>
    <n v="1827"/>
    <n v="2760"/>
    <n v="5266"/>
    <n v="2301"/>
    <n v="7151"/>
    <n v="2983"/>
    <n v="4566"/>
    <n v="997"/>
    <n v="2845"/>
    <n v="69951"/>
    <n v="2195"/>
    <n v="3539"/>
    <n v="1432"/>
    <n v="1294"/>
    <n v="485"/>
    <n v="2803"/>
    <n v="658"/>
    <n v="2028"/>
    <n v="1888"/>
    <n v="3182"/>
    <n v="832"/>
    <n v="1130"/>
    <n v="956"/>
    <n v="935"/>
    <n v="3834"/>
    <n v="2351"/>
    <n v="1776"/>
    <n v="1321"/>
    <n v="2342"/>
    <n v="2342"/>
  </r>
  <r>
    <x v="52"/>
    <n v="823"/>
    <n v="1110"/>
    <n v="1895"/>
    <n v="2732"/>
    <n v="5071"/>
    <n v="2352"/>
    <n v="7116"/>
    <n v="2933"/>
    <n v="4300"/>
    <n v="918"/>
    <n v="2729"/>
    <n v="68770"/>
    <n v="2306"/>
    <n v="3425"/>
    <n v="1409"/>
    <n v="1268"/>
    <n v="506"/>
    <n v="2795"/>
    <n v="624"/>
    <n v="1965"/>
    <n v="1921"/>
    <n v="3104"/>
    <n v="856"/>
    <n v="1100"/>
    <n v="991"/>
    <n v="942"/>
    <n v="3698"/>
    <n v="2277"/>
    <n v="1707"/>
    <n v="1308"/>
    <n v="2335"/>
    <n v="2254"/>
  </r>
  <r>
    <x v="53"/>
    <n v="785"/>
    <n v="1044"/>
    <n v="1743"/>
    <n v="2525"/>
    <n v="4833"/>
    <n v="2284"/>
    <n v="6622"/>
    <n v="2826"/>
    <n v="4029"/>
    <n v="903"/>
    <n v="2592"/>
    <n v="64815"/>
    <n v="2167"/>
    <n v="3217"/>
    <n v="1419"/>
    <n v="1162"/>
    <n v="477"/>
    <n v="2491"/>
    <n v="600"/>
    <n v="1878"/>
    <n v="1848"/>
    <n v="2879"/>
    <n v="817"/>
    <n v="1067"/>
    <n v="909"/>
    <n v="862"/>
    <n v="3463"/>
    <n v="2200"/>
    <n v="1696"/>
    <n v="1272"/>
    <n v="2185"/>
    <n v="2020"/>
  </r>
  <r>
    <x v="54"/>
    <n v="805"/>
    <n v="1053"/>
    <n v="1770"/>
    <n v="2606"/>
    <n v="4708"/>
    <n v="2309"/>
    <n v="6752"/>
    <n v="2788"/>
    <n v="3818"/>
    <n v="871"/>
    <n v="2607"/>
    <n v="64218"/>
    <n v="2105"/>
    <n v="3132"/>
    <n v="1330"/>
    <n v="1145"/>
    <n v="490"/>
    <n v="2560"/>
    <n v="602"/>
    <n v="1830"/>
    <n v="1789"/>
    <n v="2846"/>
    <n v="818"/>
    <n v="1101"/>
    <n v="886"/>
    <n v="935"/>
    <n v="3334"/>
    <n v="2253"/>
    <n v="1611"/>
    <n v="1223"/>
    <n v="2165"/>
    <n v="1976"/>
  </r>
  <r>
    <x v="55"/>
    <n v="804"/>
    <n v="1053"/>
    <n v="1758"/>
    <n v="2549"/>
    <n v="4684"/>
    <n v="2208"/>
    <n v="6208"/>
    <n v="2883"/>
    <n v="3660"/>
    <n v="879"/>
    <n v="2540"/>
    <n v="62916"/>
    <n v="2052"/>
    <n v="3042"/>
    <n v="1377"/>
    <n v="1153"/>
    <n v="475"/>
    <n v="2508"/>
    <n v="590"/>
    <n v="1687"/>
    <n v="1841"/>
    <n v="2690"/>
    <n v="776"/>
    <n v="1013"/>
    <n v="965"/>
    <n v="912"/>
    <n v="3254"/>
    <n v="2248"/>
    <n v="1686"/>
    <n v="1199"/>
    <n v="2228"/>
    <n v="1994"/>
  </r>
  <r>
    <x v="56"/>
    <n v="795"/>
    <n v="1038"/>
    <n v="1739"/>
    <n v="2620"/>
    <n v="4709"/>
    <n v="2198"/>
    <n v="6376"/>
    <n v="2691"/>
    <n v="3500"/>
    <n v="883"/>
    <n v="2448"/>
    <n v="61963"/>
    <n v="2138"/>
    <n v="2987"/>
    <n v="1353"/>
    <n v="1093"/>
    <n v="457"/>
    <n v="2445"/>
    <n v="539"/>
    <n v="1752"/>
    <n v="1858"/>
    <n v="2619"/>
    <n v="770"/>
    <n v="1065"/>
    <n v="913"/>
    <n v="888"/>
    <n v="3031"/>
    <n v="2183"/>
    <n v="1649"/>
    <n v="1130"/>
    <n v="2094"/>
    <n v="2002"/>
  </r>
  <r>
    <x v="57"/>
    <n v="740"/>
    <n v="991"/>
    <n v="1648"/>
    <n v="2648"/>
    <n v="4643"/>
    <n v="2226"/>
    <n v="6439"/>
    <n v="2795"/>
    <n v="3445"/>
    <n v="863"/>
    <n v="2506"/>
    <n v="62655"/>
    <n v="2112"/>
    <n v="2934"/>
    <n v="1375"/>
    <n v="1054"/>
    <n v="476"/>
    <n v="2548"/>
    <n v="570"/>
    <n v="1676"/>
    <n v="1894"/>
    <n v="2716"/>
    <n v="798"/>
    <n v="1060"/>
    <n v="887"/>
    <n v="868"/>
    <n v="3246"/>
    <n v="2233"/>
    <n v="1664"/>
    <n v="1231"/>
    <n v="2258"/>
    <n v="2111"/>
  </r>
  <r>
    <x v="58"/>
    <n v="724"/>
    <n v="964"/>
    <n v="1689"/>
    <n v="2686"/>
    <n v="4406"/>
    <n v="2133"/>
    <n v="6309"/>
    <n v="2756"/>
    <n v="3305"/>
    <n v="767"/>
    <n v="2394"/>
    <n v="60435"/>
    <n v="2053"/>
    <n v="2756"/>
    <n v="1268"/>
    <n v="1070"/>
    <n v="471"/>
    <n v="2428"/>
    <n v="509"/>
    <n v="1636"/>
    <n v="1849"/>
    <n v="2440"/>
    <n v="773"/>
    <n v="1044"/>
    <n v="960"/>
    <n v="944"/>
    <n v="3089"/>
    <n v="2195"/>
    <n v="1628"/>
    <n v="1153"/>
    <n v="2138"/>
    <n v="1898"/>
  </r>
  <r>
    <x v="59"/>
    <n v="743"/>
    <n v="995"/>
    <n v="1620"/>
    <n v="2639"/>
    <n v="4275"/>
    <n v="1981"/>
    <n v="6245"/>
    <n v="2784"/>
    <n v="3262"/>
    <n v="775"/>
    <n v="2308"/>
    <n v="59196"/>
    <n v="2054"/>
    <n v="2581"/>
    <n v="1310"/>
    <n v="967"/>
    <n v="426"/>
    <n v="2399"/>
    <n v="535"/>
    <n v="1582"/>
    <n v="1786"/>
    <n v="2346"/>
    <n v="774"/>
    <n v="956"/>
    <n v="897"/>
    <n v="905"/>
    <n v="3057"/>
    <n v="2198"/>
    <n v="1655"/>
    <n v="1167"/>
    <n v="2052"/>
    <n v="1922"/>
  </r>
  <r>
    <x v="60"/>
    <n v="673"/>
    <n v="946"/>
    <n v="1540"/>
    <n v="2604"/>
    <n v="4086"/>
    <n v="2055"/>
    <n v="6026"/>
    <n v="2658"/>
    <n v="3093"/>
    <n v="760"/>
    <n v="2272"/>
    <n v="57518"/>
    <n v="2056"/>
    <n v="2511"/>
    <n v="1237"/>
    <n v="965"/>
    <n v="401"/>
    <n v="2390"/>
    <n v="528"/>
    <n v="1499"/>
    <n v="1772"/>
    <n v="2232"/>
    <n v="752"/>
    <n v="982"/>
    <n v="893"/>
    <n v="862"/>
    <n v="2982"/>
    <n v="2053"/>
    <n v="1579"/>
    <n v="1087"/>
    <n v="2050"/>
    <n v="1974"/>
  </r>
  <r>
    <x v="61"/>
    <n v="684"/>
    <n v="925"/>
    <n v="1493"/>
    <n v="2466"/>
    <n v="4157"/>
    <n v="1941"/>
    <n v="5804"/>
    <n v="2534"/>
    <n v="3027"/>
    <n v="780"/>
    <n v="2317"/>
    <n v="56705"/>
    <n v="1963"/>
    <n v="2494"/>
    <n v="1260"/>
    <n v="1005"/>
    <n v="436"/>
    <n v="2291"/>
    <n v="524"/>
    <n v="1542"/>
    <n v="1735"/>
    <n v="2213"/>
    <n v="767"/>
    <n v="1025"/>
    <n v="910"/>
    <n v="910"/>
    <n v="2980"/>
    <n v="2127"/>
    <n v="1487"/>
    <n v="1065"/>
    <n v="2064"/>
    <n v="1779"/>
  </r>
  <r>
    <x v="62"/>
    <n v="713"/>
    <n v="918"/>
    <n v="1492"/>
    <n v="2364"/>
    <n v="3964"/>
    <n v="1977"/>
    <n v="5647"/>
    <n v="2470"/>
    <n v="2939"/>
    <n v="739"/>
    <n v="2208"/>
    <n v="55015"/>
    <n v="2010"/>
    <n v="2282"/>
    <n v="1283"/>
    <n v="922"/>
    <n v="425"/>
    <n v="2311"/>
    <n v="499"/>
    <n v="1413"/>
    <n v="1825"/>
    <n v="2090"/>
    <n v="753"/>
    <n v="974"/>
    <n v="848"/>
    <n v="944"/>
    <n v="2869"/>
    <n v="1945"/>
    <n v="1495"/>
    <n v="1051"/>
    <n v="1936"/>
    <n v="1709"/>
  </r>
  <r>
    <x v="63"/>
    <n v="642"/>
    <n v="826"/>
    <n v="1576"/>
    <n v="2259"/>
    <n v="3746"/>
    <n v="1908"/>
    <n v="5268"/>
    <n v="2369"/>
    <n v="2725"/>
    <n v="708"/>
    <n v="2087"/>
    <n v="52196"/>
    <n v="1972"/>
    <n v="2236"/>
    <n v="1142"/>
    <n v="914"/>
    <n v="439"/>
    <n v="2195"/>
    <n v="463"/>
    <n v="1318"/>
    <n v="1762"/>
    <n v="1959"/>
    <n v="667"/>
    <n v="875"/>
    <n v="851"/>
    <n v="799"/>
    <n v="2761"/>
    <n v="1869"/>
    <n v="1393"/>
    <n v="984"/>
    <n v="1847"/>
    <n v="1636"/>
  </r>
  <r>
    <x v="64"/>
    <n v="610"/>
    <n v="842"/>
    <n v="1431"/>
    <n v="2216"/>
    <n v="3690"/>
    <n v="1819"/>
    <n v="5080"/>
    <n v="2304"/>
    <n v="2551"/>
    <n v="694"/>
    <n v="2171"/>
    <n v="51236"/>
    <n v="1954"/>
    <n v="2115"/>
    <n v="1151"/>
    <n v="869"/>
    <n v="417"/>
    <n v="2241"/>
    <n v="446"/>
    <n v="1308"/>
    <n v="1808"/>
    <n v="1870"/>
    <n v="715"/>
    <n v="811"/>
    <n v="884"/>
    <n v="839"/>
    <n v="2722"/>
    <n v="1971"/>
    <n v="1335"/>
    <n v="981"/>
    <n v="1789"/>
    <n v="1602"/>
  </r>
  <r>
    <x v="65"/>
    <n v="628"/>
    <n v="863"/>
    <n v="1341"/>
    <n v="2125"/>
    <n v="3555"/>
    <n v="1826"/>
    <n v="5001"/>
    <n v="2259"/>
    <n v="2556"/>
    <n v="686"/>
    <n v="2094"/>
    <n v="50083"/>
    <n v="1901"/>
    <n v="2113"/>
    <n v="1054"/>
    <n v="877"/>
    <n v="438"/>
    <n v="2140"/>
    <n v="475"/>
    <n v="1305"/>
    <n v="1709"/>
    <n v="1809"/>
    <n v="688"/>
    <n v="870"/>
    <n v="827"/>
    <n v="843"/>
    <n v="2647"/>
    <n v="1875"/>
    <n v="1331"/>
    <n v="990"/>
    <n v="1745"/>
    <n v="1512"/>
  </r>
  <r>
    <x v="66"/>
    <n v="569"/>
    <n v="807"/>
    <n v="1351"/>
    <n v="1960"/>
    <n v="3560"/>
    <n v="1775"/>
    <n v="4694"/>
    <n v="2193"/>
    <n v="2390"/>
    <n v="629"/>
    <n v="2059"/>
    <n v="48421"/>
    <n v="1826"/>
    <n v="2033"/>
    <n v="1056"/>
    <n v="793"/>
    <n v="411"/>
    <n v="2142"/>
    <n v="437"/>
    <n v="1263"/>
    <n v="1720"/>
    <n v="1786"/>
    <n v="651"/>
    <n v="849"/>
    <n v="823"/>
    <n v="769"/>
    <n v="2639"/>
    <n v="1834"/>
    <n v="1271"/>
    <n v="936"/>
    <n v="1661"/>
    <n v="1534"/>
  </r>
  <r>
    <x v="67"/>
    <n v="562"/>
    <n v="793"/>
    <n v="1361"/>
    <n v="1928"/>
    <n v="3466"/>
    <n v="1816"/>
    <n v="4593"/>
    <n v="2132"/>
    <n v="2312"/>
    <n v="642"/>
    <n v="2018"/>
    <n v="48151"/>
    <n v="1889"/>
    <n v="2126"/>
    <n v="1070"/>
    <n v="781"/>
    <n v="422"/>
    <n v="2041"/>
    <n v="442"/>
    <n v="1236"/>
    <n v="1708"/>
    <n v="1828"/>
    <n v="638"/>
    <n v="795"/>
    <n v="833"/>
    <n v="776"/>
    <n v="2631"/>
    <n v="1804"/>
    <n v="1348"/>
    <n v="931"/>
    <n v="1741"/>
    <n v="1488"/>
  </r>
  <r>
    <x v="68"/>
    <n v="565"/>
    <n v="774"/>
    <n v="1285"/>
    <n v="1830"/>
    <n v="3418"/>
    <n v="1711"/>
    <n v="4204"/>
    <n v="2082"/>
    <n v="2290"/>
    <n v="653"/>
    <n v="1851"/>
    <n v="45520"/>
    <n v="1721"/>
    <n v="1861"/>
    <n v="1045"/>
    <n v="749"/>
    <n v="415"/>
    <n v="1929"/>
    <n v="448"/>
    <n v="1169"/>
    <n v="1602"/>
    <n v="1685"/>
    <n v="631"/>
    <n v="736"/>
    <n v="794"/>
    <n v="767"/>
    <n v="2495"/>
    <n v="1738"/>
    <n v="1203"/>
    <n v="859"/>
    <n v="1642"/>
    <n v="1368"/>
  </r>
  <r>
    <x v="69"/>
    <n v="587"/>
    <n v="722"/>
    <n v="1289"/>
    <n v="1871"/>
    <n v="3437"/>
    <n v="1752"/>
    <n v="4391"/>
    <n v="2076"/>
    <n v="2320"/>
    <n v="678"/>
    <n v="1931"/>
    <n v="45969"/>
    <n v="1762"/>
    <n v="1930"/>
    <n v="1013"/>
    <n v="759"/>
    <n v="403"/>
    <n v="2050"/>
    <n v="433"/>
    <n v="1105"/>
    <n v="1562"/>
    <n v="1624"/>
    <n v="617"/>
    <n v="763"/>
    <n v="758"/>
    <n v="774"/>
    <n v="2570"/>
    <n v="1723"/>
    <n v="1194"/>
    <n v="872"/>
    <n v="1628"/>
    <n v="1375"/>
  </r>
  <r>
    <x v="70"/>
    <n v="522"/>
    <n v="678"/>
    <n v="1230"/>
    <n v="1791"/>
    <n v="3167"/>
    <n v="1640"/>
    <n v="4105"/>
    <n v="1979"/>
    <n v="2171"/>
    <n v="553"/>
    <n v="1763"/>
    <n v="43150"/>
    <n v="1692"/>
    <n v="1711"/>
    <n v="962"/>
    <n v="740"/>
    <n v="370"/>
    <n v="1924"/>
    <n v="433"/>
    <n v="1089"/>
    <n v="1498"/>
    <n v="1492"/>
    <n v="594"/>
    <n v="735"/>
    <n v="756"/>
    <n v="690"/>
    <n v="2475"/>
    <n v="1637"/>
    <n v="1150"/>
    <n v="765"/>
    <n v="1528"/>
    <n v="1310"/>
  </r>
  <r>
    <x v="71"/>
    <n v="497"/>
    <n v="680"/>
    <n v="1191"/>
    <n v="1722"/>
    <n v="3086"/>
    <n v="1626"/>
    <n v="3905"/>
    <n v="1877"/>
    <n v="1961"/>
    <n v="550"/>
    <n v="1762"/>
    <n v="41685"/>
    <n v="1652"/>
    <n v="1682"/>
    <n v="836"/>
    <n v="658"/>
    <n v="373"/>
    <n v="1849"/>
    <n v="390"/>
    <n v="1030"/>
    <n v="1582"/>
    <n v="1559"/>
    <n v="556"/>
    <n v="710"/>
    <n v="676"/>
    <n v="735"/>
    <n v="2419"/>
    <n v="1531"/>
    <n v="1100"/>
    <n v="735"/>
    <n v="1484"/>
    <n v="1271"/>
  </r>
  <r>
    <x v="72"/>
    <n v="526"/>
    <n v="689"/>
    <n v="1241"/>
    <n v="1718"/>
    <n v="2931"/>
    <n v="1518"/>
    <n v="3853"/>
    <n v="1879"/>
    <n v="2066"/>
    <n v="521"/>
    <n v="1673"/>
    <n v="41124"/>
    <n v="1569"/>
    <n v="1666"/>
    <n v="920"/>
    <n v="611"/>
    <n v="366"/>
    <n v="1810"/>
    <n v="419"/>
    <n v="1050"/>
    <n v="1507"/>
    <n v="1478"/>
    <n v="585"/>
    <n v="697"/>
    <n v="669"/>
    <n v="686"/>
    <n v="2358"/>
    <n v="1530"/>
    <n v="1076"/>
    <n v="741"/>
    <n v="1498"/>
    <n v="1273"/>
  </r>
  <r>
    <x v="73"/>
    <n v="461"/>
    <n v="629"/>
    <n v="1113"/>
    <n v="1601"/>
    <n v="2923"/>
    <n v="1522"/>
    <n v="3788"/>
    <n v="1796"/>
    <n v="1941"/>
    <n v="547"/>
    <n v="1639"/>
    <n v="39255"/>
    <n v="1529"/>
    <n v="1584"/>
    <n v="831"/>
    <n v="558"/>
    <n v="295"/>
    <n v="1722"/>
    <n v="375"/>
    <n v="980"/>
    <n v="1365"/>
    <n v="1460"/>
    <n v="536"/>
    <n v="660"/>
    <n v="617"/>
    <n v="667"/>
    <n v="2139"/>
    <n v="1479"/>
    <n v="1068"/>
    <n v="743"/>
    <n v="1403"/>
    <n v="1284"/>
  </r>
  <r>
    <x v="74"/>
    <n v="475"/>
    <n v="596"/>
    <n v="1076"/>
    <n v="1572"/>
    <n v="2770"/>
    <n v="1465"/>
    <n v="3632"/>
    <n v="1814"/>
    <n v="1821"/>
    <n v="502"/>
    <n v="1570"/>
    <n v="37670"/>
    <n v="1481"/>
    <n v="1494"/>
    <n v="860"/>
    <n v="567"/>
    <n v="313"/>
    <n v="1658"/>
    <n v="371"/>
    <n v="1006"/>
    <n v="1349"/>
    <n v="1329"/>
    <n v="498"/>
    <n v="637"/>
    <n v="625"/>
    <n v="642"/>
    <n v="1973"/>
    <n v="1459"/>
    <n v="1000"/>
    <n v="686"/>
    <n v="1303"/>
    <n v="1126"/>
  </r>
  <r>
    <x v="75"/>
    <n v="404"/>
    <n v="582"/>
    <n v="1058"/>
    <n v="1518"/>
    <n v="2620"/>
    <n v="1407"/>
    <n v="3409"/>
    <n v="1836"/>
    <n v="1732"/>
    <n v="479"/>
    <n v="1443"/>
    <n v="35767"/>
    <n v="1418"/>
    <n v="1456"/>
    <n v="769"/>
    <n v="579"/>
    <n v="287"/>
    <n v="1548"/>
    <n v="344"/>
    <n v="916"/>
    <n v="1271"/>
    <n v="1250"/>
    <n v="492"/>
    <n v="606"/>
    <n v="573"/>
    <n v="583"/>
    <n v="1803"/>
    <n v="1297"/>
    <n v="1059"/>
    <n v="634"/>
    <n v="1280"/>
    <n v="1114"/>
  </r>
  <r>
    <x v="76"/>
    <n v="412"/>
    <n v="514"/>
    <n v="976"/>
    <n v="1483"/>
    <n v="2446"/>
    <n v="1344"/>
    <n v="3195"/>
    <n v="1703"/>
    <n v="1660"/>
    <n v="504"/>
    <n v="1341"/>
    <n v="33759"/>
    <n v="1351"/>
    <n v="1245"/>
    <n v="725"/>
    <n v="539"/>
    <n v="279"/>
    <n v="1462"/>
    <n v="359"/>
    <n v="921"/>
    <n v="1150"/>
    <n v="1174"/>
    <n v="464"/>
    <n v="562"/>
    <n v="592"/>
    <n v="562"/>
    <n v="1736"/>
    <n v="1301"/>
    <n v="938"/>
    <n v="586"/>
    <n v="1188"/>
    <n v="1047"/>
  </r>
  <r>
    <x v="77"/>
    <n v="372"/>
    <n v="482"/>
    <n v="894"/>
    <n v="1358"/>
    <n v="2290"/>
    <n v="1179"/>
    <n v="2943"/>
    <n v="1604"/>
    <n v="1475"/>
    <n v="425"/>
    <n v="1198"/>
    <n v="30572"/>
    <n v="1189"/>
    <n v="1181"/>
    <n v="697"/>
    <n v="452"/>
    <n v="260"/>
    <n v="1324"/>
    <n v="296"/>
    <n v="775"/>
    <n v="1044"/>
    <n v="1067"/>
    <n v="377"/>
    <n v="496"/>
    <n v="466"/>
    <n v="511"/>
    <n v="1509"/>
    <n v="1211"/>
    <n v="835"/>
    <n v="598"/>
    <n v="1090"/>
    <n v="974"/>
  </r>
  <r>
    <x v="78"/>
    <n v="312"/>
    <n v="433"/>
    <n v="793"/>
    <n v="1197"/>
    <n v="1965"/>
    <n v="1115"/>
    <n v="2846"/>
    <n v="1551"/>
    <n v="1292"/>
    <n v="387"/>
    <n v="1125"/>
    <n v="28058"/>
    <n v="1077"/>
    <n v="1040"/>
    <n v="610"/>
    <n v="443"/>
    <n v="232"/>
    <n v="1217"/>
    <n v="261"/>
    <n v="797"/>
    <n v="952"/>
    <n v="992"/>
    <n v="361"/>
    <n v="439"/>
    <n v="461"/>
    <n v="452"/>
    <n v="1393"/>
    <n v="1043"/>
    <n v="761"/>
    <n v="519"/>
    <n v="1056"/>
    <n v="936"/>
  </r>
  <r>
    <x v="79"/>
    <n v="339"/>
    <n v="388"/>
    <n v="693"/>
    <n v="1142"/>
    <n v="1833"/>
    <n v="991"/>
    <n v="2774"/>
    <n v="1448"/>
    <n v="1258"/>
    <n v="363"/>
    <n v="1026"/>
    <n v="26104"/>
    <n v="1017"/>
    <n v="981"/>
    <n v="597"/>
    <n v="390"/>
    <n v="212"/>
    <n v="1209"/>
    <n v="235"/>
    <n v="665"/>
    <n v="884"/>
    <n v="865"/>
    <n v="357"/>
    <n v="442"/>
    <n v="422"/>
    <n v="457"/>
    <n v="1205"/>
    <n v="1010"/>
    <n v="699"/>
    <n v="478"/>
    <n v="912"/>
    <n v="812"/>
  </r>
  <r>
    <x v="80"/>
    <n v="279"/>
    <n v="332"/>
    <n v="594"/>
    <n v="1103"/>
    <n v="1669"/>
    <n v="902"/>
    <n v="2408"/>
    <n v="1410"/>
    <n v="1011"/>
    <n v="376"/>
    <n v="998"/>
    <n v="22847"/>
    <n v="818"/>
    <n v="778"/>
    <n v="514"/>
    <n v="341"/>
    <n v="159"/>
    <n v="1001"/>
    <n v="207"/>
    <n v="572"/>
    <n v="799"/>
    <n v="802"/>
    <n v="255"/>
    <n v="360"/>
    <n v="362"/>
    <n v="379"/>
    <n v="1022"/>
    <n v="804"/>
    <n v="656"/>
    <n v="397"/>
    <n v="833"/>
    <n v="706"/>
  </r>
  <r>
    <x v="81"/>
    <n v="265"/>
    <n v="319"/>
    <n v="583"/>
    <n v="943"/>
    <n v="1407"/>
    <n v="840"/>
    <n v="2254"/>
    <n v="1240"/>
    <n v="919"/>
    <n v="250"/>
    <n v="865"/>
    <n v="20661"/>
    <n v="783"/>
    <n v="673"/>
    <n v="463"/>
    <n v="304"/>
    <n v="150"/>
    <n v="888"/>
    <n v="179"/>
    <n v="589"/>
    <n v="740"/>
    <n v="674"/>
    <n v="251"/>
    <n v="309"/>
    <n v="335"/>
    <n v="340"/>
    <n v="992"/>
    <n v="775"/>
    <n v="585"/>
    <n v="380"/>
    <n v="763"/>
    <n v="603"/>
  </r>
  <r>
    <x v="82"/>
    <n v="240"/>
    <n v="273"/>
    <n v="526"/>
    <n v="963"/>
    <n v="1379"/>
    <n v="744"/>
    <n v="2287"/>
    <n v="1229"/>
    <n v="848"/>
    <n v="279"/>
    <n v="804"/>
    <n v="19538"/>
    <n v="758"/>
    <n v="636"/>
    <n v="399"/>
    <n v="269"/>
    <n v="169"/>
    <n v="846"/>
    <n v="164"/>
    <n v="512"/>
    <n v="641"/>
    <n v="617"/>
    <n v="267"/>
    <n v="319"/>
    <n v="322"/>
    <n v="298"/>
    <n v="901"/>
    <n v="749"/>
    <n v="502"/>
    <n v="328"/>
    <n v="670"/>
    <n v="599"/>
  </r>
  <r>
    <x v="83"/>
    <n v="203"/>
    <n v="280"/>
    <n v="476"/>
    <n v="844"/>
    <n v="1179"/>
    <n v="707"/>
    <n v="2088"/>
    <n v="1141"/>
    <n v="707"/>
    <n v="277"/>
    <n v="770"/>
    <n v="17885"/>
    <n v="615"/>
    <n v="562"/>
    <n v="387"/>
    <n v="251"/>
    <n v="163"/>
    <n v="771"/>
    <n v="143"/>
    <n v="461"/>
    <n v="621"/>
    <n v="567"/>
    <n v="239"/>
    <n v="313"/>
    <n v="317"/>
    <n v="298"/>
    <n v="798"/>
    <n v="678"/>
    <n v="501"/>
    <n v="346"/>
    <n v="651"/>
    <n v="531"/>
  </r>
  <r>
    <x v="84"/>
    <n v="198"/>
    <n v="252"/>
    <n v="394"/>
    <n v="750"/>
    <n v="1059"/>
    <n v="623"/>
    <n v="1916"/>
    <n v="992"/>
    <n v="642"/>
    <n v="236"/>
    <n v="603"/>
    <n v="15655"/>
    <n v="607"/>
    <n v="464"/>
    <n v="347"/>
    <n v="205"/>
    <n v="144"/>
    <n v="687"/>
    <n v="140"/>
    <n v="416"/>
    <n v="543"/>
    <n v="460"/>
    <n v="207"/>
    <n v="251"/>
    <n v="249"/>
    <n v="237"/>
    <n v="711"/>
    <n v="611"/>
    <n v="429"/>
    <n v="275"/>
    <n v="553"/>
    <n v="454"/>
  </r>
  <r>
    <x v="85"/>
    <n v="141"/>
    <n v="245"/>
    <n v="376"/>
    <n v="653"/>
    <n v="1050"/>
    <n v="551"/>
    <n v="1786"/>
    <n v="937"/>
    <n v="546"/>
    <n v="211"/>
    <n v="569"/>
    <n v="14457"/>
    <n v="499"/>
    <n v="475"/>
    <n v="309"/>
    <n v="198"/>
    <n v="108"/>
    <n v="597"/>
    <n v="143"/>
    <n v="352"/>
    <n v="523"/>
    <n v="438"/>
    <n v="175"/>
    <n v="295"/>
    <n v="235"/>
    <n v="260"/>
    <n v="644"/>
    <n v="551"/>
    <n v="396"/>
    <n v="274"/>
    <n v="503"/>
    <n v="417"/>
  </r>
  <r>
    <x v="86"/>
    <n v="159"/>
    <n v="226"/>
    <n v="355"/>
    <n v="614"/>
    <n v="923"/>
    <n v="434"/>
    <n v="1562"/>
    <n v="817"/>
    <n v="500"/>
    <n v="181"/>
    <n v="552"/>
    <n v="12871"/>
    <n v="439"/>
    <n v="371"/>
    <n v="307"/>
    <n v="176"/>
    <n v="92"/>
    <n v="556"/>
    <n v="140"/>
    <n v="317"/>
    <n v="451"/>
    <n v="402"/>
    <n v="171"/>
    <n v="225"/>
    <n v="235"/>
    <n v="222"/>
    <n v="530"/>
    <n v="503"/>
    <n v="354"/>
    <n v="242"/>
    <n v="443"/>
    <n v="372"/>
  </r>
  <r>
    <x v="87"/>
    <n v="119"/>
    <n v="182"/>
    <n v="283"/>
    <n v="528"/>
    <n v="804"/>
    <n v="433"/>
    <n v="1417"/>
    <n v="736"/>
    <n v="434"/>
    <n v="143"/>
    <n v="439"/>
    <n v="11281"/>
    <n v="424"/>
    <n v="341"/>
    <n v="278"/>
    <n v="158"/>
    <n v="105"/>
    <n v="451"/>
    <n v="102"/>
    <n v="266"/>
    <n v="393"/>
    <n v="379"/>
    <n v="156"/>
    <n v="173"/>
    <n v="226"/>
    <n v="194"/>
    <n v="474"/>
    <n v="430"/>
    <n v="328"/>
    <n v="228"/>
    <n v="366"/>
    <n v="291"/>
  </r>
  <r>
    <x v="88"/>
    <n v="105"/>
    <n v="188"/>
    <n v="258"/>
    <n v="454"/>
    <n v="690"/>
    <n v="339"/>
    <n v="1330"/>
    <n v="668"/>
    <n v="324"/>
    <n v="141"/>
    <n v="433"/>
    <n v="9698"/>
    <n v="322"/>
    <n v="265"/>
    <n v="203"/>
    <n v="137"/>
    <n v="80"/>
    <n v="357"/>
    <n v="91"/>
    <n v="244"/>
    <n v="393"/>
    <n v="282"/>
    <n v="131"/>
    <n v="178"/>
    <n v="177"/>
    <n v="168"/>
    <n v="379"/>
    <n v="364"/>
    <n v="266"/>
    <n v="167"/>
    <n v="323"/>
    <n v="241"/>
  </r>
  <r>
    <x v="89"/>
    <n v="86"/>
    <n v="134"/>
    <n v="207"/>
    <n v="365"/>
    <n v="549"/>
    <n v="310"/>
    <n v="1066"/>
    <n v="525"/>
    <n v="333"/>
    <n v="96"/>
    <n v="360"/>
    <n v="7997"/>
    <n v="269"/>
    <n v="242"/>
    <n v="188"/>
    <n v="96"/>
    <n v="56"/>
    <n v="317"/>
    <n v="73"/>
    <n v="183"/>
    <n v="269"/>
    <n v="224"/>
    <n v="129"/>
    <n v="120"/>
    <n v="149"/>
    <n v="140"/>
    <n v="319"/>
    <n v="332"/>
    <n v="226"/>
    <n v="131"/>
    <n v="257"/>
    <n v="246"/>
  </r>
  <r>
    <x v="90"/>
    <n v="65"/>
    <n v="96"/>
    <n v="174"/>
    <n v="335"/>
    <n v="475"/>
    <n v="248"/>
    <n v="885"/>
    <n v="493"/>
    <n v="256"/>
    <n v="88"/>
    <n v="289"/>
    <n v="6729"/>
    <n v="228"/>
    <n v="196"/>
    <n v="131"/>
    <n v="70"/>
    <n v="61"/>
    <n v="248"/>
    <n v="56"/>
    <n v="149"/>
    <n v="256"/>
    <n v="203"/>
    <n v="88"/>
    <n v="107"/>
    <n v="137"/>
    <n v="105"/>
    <n v="289"/>
    <n v="280"/>
    <n v="204"/>
    <n v="123"/>
    <n v="217"/>
    <n v="177"/>
  </r>
  <r>
    <x v="91"/>
    <n v="72"/>
    <n v="98"/>
    <n v="138"/>
    <n v="272"/>
    <n v="430"/>
    <n v="207"/>
    <n v="778"/>
    <n v="379"/>
    <n v="211"/>
    <n v="102"/>
    <n v="254"/>
    <n v="5731"/>
    <n v="209"/>
    <n v="153"/>
    <n v="138"/>
    <n v="89"/>
    <n v="57"/>
    <n v="221"/>
    <n v="43"/>
    <n v="132"/>
    <n v="218"/>
    <n v="144"/>
    <n v="66"/>
    <n v="77"/>
    <n v="96"/>
    <n v="86"/>
    <n v="210"/>
    <n v="230"/>
    <n v="171"/>
    <n v="109"/>
    <n v="177"/>
    <n v="164"/>
  </r>
  <r>
    <x v="92"/>
    <n v="38"/>
    <n v="67"/>
    <n v="99"/>
    <n v="177"/>
    <n v="304"/>
    <n v="148"/>
    <n v="624"/>
    <n v="287"/>
    <n v="148"/>
    <n v="64"/>
    <n v="190"/>
    <n v="4106"/>
    <n v="128"/>
    <n v="111"/>
    <n v="83"/>
    <n v="65"/>
    <n v="42"/>
    <n v="150"/>
    <n v="26"/>
    <n v="100"/>
    <n v="129"/>
    <n v="125"/>
    <n v="66"/>
    <n v="57"/>
    <n v="76"/>
    <n v="54"/>
    <n v="146"/>
    <n v="170"/>
    <n v="120"/>
    <n v="73"/>
    <n v="125"/>
    <n v="114"/>
  </r>
  <r>
    <x v="93"/>
    <n v="26"/>
    <n v="50"/>
    <n v="78"/>
    <n v="149"/>
    <n v="236"/>
    <n v="130"/>
    <n v="447"/>
    <n v="230"/>
    <n v="118"/>
    <n v="53"/>
    <n v="129"/>
    <n v="3257"/>
    <n v="127"/>
    <n v="114"/>
    <n v="66"/>
    <n v="38"/>
    <n v="32"/>
    <n v="130"/>
    <n v="36"/>
    <n v="88"/>
    <n v="122"/>
    <n v="88"/>
    <n v="45"/>
    <n v="48"/>
    <n v="71"/>
    <n v="51"/>
    <n v="115"/>
    <n v="118"/>
    <n v="70"/>
    <n v="60"/>
    <n v="110"/>
    <n v="82"/>
  </r>
  <r>
    <x v="94"/>
    <n v="24"/>
    <n v="32"/>
    <n v="54"/>
    <n v="79"/>
    <n v="153"/>
    <n v="88"/>
    <n v="362"/>
    <n v="189"/>
    <n v="86"/>
    <n v="26"/>
    <n v="120"/>
    <n v="2455"/>
    <n v="78"/>
    <n v="64"/>
    <n v="63"/>
    <n v="29"/>
    <n v="22"/>
    <n v="98"/>
    <n v="26"/>
    <n v="50"/>
    <n v="108"/>
    <n v="72"/>
    <n v="35"/>
    <n v="50"/>
    <n v="55"/>
    <n v="57"/>
    <n v="100"/>
    <n v="91"/>
    <n v="57"/>
    <n v="47"/>
    <n v="64"/>
    <n v="76"/>
  </r>
  <r>
    <x v="95"/>
    <n v="14"/>
    <n v="29"/>
    <n v="51"/>
    <n v="61"/>
    <n v="140"/>
    <n v="91"/>
    <n v="265"/>
    <n v="132"/>
    <n v="53"/>
    <n v="24"/>
    <n v="98"/>
    <n v="1826"/>
    <n v="66"/>
    <n v="54"/>
    <n v="36"/>
    <n v="13"/>
    <n v="21"/>
    <n v="68"/>
    <n v="11"/>
    <n v="50"/>
    <n v="61"/>
    <n v="63"/>
    <n v="21"/>
    <n v="27"/>
    <n v="38"/>
    <n v="23"/>
    <n v="63"/>
    <n v="70"/>
    <n v="33"/>
    <n v="40"/>
    <n v="51"/>
    <n v="59"/>
  </r>
  <r>
    <x v="96"/>
    <n v="11"/>
    <n v="23"/>
    <n v="40"/>
    <n v="54"/>
    <n v="84"/>
    <n v="48"/>
    <n v="200"/>
    <n v="95"/>
    <n v="48"/>
    <n v="19"/>
    <n v="54"/>
    <n v="1283"/>
    <n v="33"/>
    <n v="37"/>
    <n v="32"/>
    <n v="15"/>
    <n v="6"/>
    <n v="50"/>
    <n v="13"/>
    <n v="30"/>
    <n v="52"/>
    <n v="42"/>
    <n v="17"/>
    <n v="19"/>
    <n v="28"/>
    <n v="21"/>
    <n v="41"/>
    <n v="41"/>
    <n v="26"/>
    <n v="24"/>
    <n v="42"/>
    <n v="38"/>
  </r>
  <r>
    <x v="97"/>
    <n v="11"/>
    <n v="13"/>
    <n v="31"/>
    <n v="39"/>
    <n v="65"/>
    <n v="27"/>
    <n v="115"/>
    <n v="57"/>
    <n v="51"/>
    <n v="12"/>
    <n v="44"/>
    <n v="949"/>
    <n v="45"/>
    <n v="28"/>
    <n v="24"/>
    <n v="10"/>
    <n v="17"/>
    <n v="33"/>
    <n v="8"/>
    <n v="25"/>
    <n v="34"/>
    <n v="24"/>
    <n v="9"/>
    <n v="16"/>
    <n v="13"/>
    <n v="22"/>
    <n v="38"/>
    <n v="33"/>
    <n v="20"/>
    <n v="23"/>
    <n v="37"/>
    <n v="25"/>
  </r>
  <r>
    <x v="98"/>
    <n v="7"/>
    <n v="8"/>
    <n v="15"/>
    <n v="23"/>
    <n v="47"/>
    <n v="15"/>
    <n v="81"/>
    <n v="45"/>
    <n v="21"/>
    <n v="15"/>
    <n v="34"/>
    <n v="622"/>
    <n v="19"/>
    <n v="15"/>
    <n v="16"/>
    <n v="5"/>
    <n v="6"/>
    <n v="36"/>
    <n v="6"/>
    <n v="20"/>
    <n v="27"/>
    <n v="19"/>
    <n v="11"/>
    <n v="8"/>
    <n v="7"/>
    <n v="12"/>
    <n v="17"/>
    <n v="21"/>
    <n v="17"/>
    <n v="11"/>
    <n v="22"/>
    <n v="16"/>
  </r>
  <r>
    <x v="99"/>
    <n v="7"/>
    <n v="6"/>
    <n v="14"/>
    <n v="24"/>
    <n v="25"/>
    <n v="18"/>
    <n v="64"/>
    <n v="32"/>
    <n v="22"/>
    <n v="4"/>
    <n v="22"/>
    <n v="441"/>
    <n v="12"/>
    <n v="13"/>
    <n v="9"/>
    <n v="3"/>
    <n v="3"/>
    <n v="17"/>
    <n v="1"/>
    <n v="7"/>
    <n v="14"/>
    <n v="15"/>
    <n v="5"/>
    <n v="4"/>
    <n v="9"/>
    <n v="10"/>
    <n v="17"/>
    <n v="10"/>
    <n v="19"/>
    <n v="6"/>
    <n v="21"/>
    <n v="8"/>
  </r>
  <r>
    <x v="100"/>
    <n v="3"/>
    <n v="18"/>
    <n v="19"/>
    <n v="26"/>
    <n v="54"/>
    <n v="33"/>
    <n v="100"/>
    <n v="55"/>
    <n v="21"/>
    <n v="8"/>
    <n v="42"/>
    <n v="738"/>
    <n v="14"/>
    <n v="25"/>
    <n v="18"/>
    <n v="10"/>
    <n v="4"/>
    <n v="41"/>
    <n v="6"/>
    <n v="28"/>
    <n v="31"/>
    <n v="21"/>
    <n v="8"/>
    <n v="5"/>
    <n v="12"/>
    <n v="12"/>
    <n v="36"/>
    <n v="23"/>
    <n v="19"/>
    <n v="12"/>
    <n v="16"/>
    <n v="18"/>
  </r>
  <r>
    <x v="1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AA2E8AC-2305-2B4E-8FC3-134A556500FC}" name="Tabela przestawna1" cacheId="0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compact="0" compactData="0" gridDropZones="1" multipleFieldFilters="0">
  <location ref="C6:D109" firstHeaderRow="2" firstDataRow="2" firstDataCol="1"/>
  <pivotFields count="33">
    <pivotField axis="axisRow" compact="0" outline="0" showAll="0">
      <items count="10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h="1" x="101"/>
        <item t="default"/>
      </items>
    </pivotField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0"/>
  </rowFields>
  <rowItems count="10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 t="grand">
      <x/>
    </i>
  </rowItems>
  <colItems count="1">
    <i/>
  </colItems>
  <dataFields count="1">
    <dataField name="Suma z Carlow County Council" fld="1" baseField="0" baseItem="0"/>
  </dataFields>
  <formats count="4">
    <format dxfId="0">
      <pivotArea outline="0" fieldPosition="0">
        <references count="1">
          <reference field="0" count="0" selected="0"/>
        </references>
      </pivotArea>
    </format>
    <format dxfId="1">
      <pivotArea dataOnly="0" labelOnly="1" outline="0" fieldPosition="0">
        <references count="1">
          <reference field="0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2">
      <pivotArea dataOnly="0" labelOnly="1" outline="0" fieldPosition="0">
        <references count="1">
          <reference field="0" count="50"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5"/>
            <x v="76"/>
            <x v="77"/>
            <x v="78"/>
            <x v="79"/>
            <x v="80"/>
            <x v="81"/>
            <x v="82"/>
            <x v="83"/>
            <x v="84"/>
            <x v="85"/>
            <x v="86"/>
            <x v="87"/>
            <x v="88"/>
            <x v="89"/>
            <x v="90"/>
            <x v="91"/>
            <x v="92"/>
            <x v="93"/>
            <x v="94"/>
            <x v="95"/>
            <x v="96"/>
            <x v="97"/>
            <x v="98"/>
            <x v="99"/>
          </reference>
        </references>
      </pivotArea>
    </format>
    <format dxfId="3">
      <pivotArea dataOnly="0" labelOnly="1" outline="0" fieldPosition="0">
        <references count="1">
          <reference field="0" count="1">
            <x v="10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4BB5B-125E-074E-A0FA-472C60863CA0}">
  <dimension ref="A1:AG102"/>
  <sheetViews>
    <sheetView topLeftCell="A23" workbookViewId="0">
      <selection sqref="A1:B102"/>
    </sheetView>
  </sheetViews>
  <sheetFormatPr baseColWidth="10" defaultRowHeight="16" x14ac:dyDescent="0.2"/>
  <cols>
    <col min="2" max="2" width="10.83203125" style="7"/>
  </cols>
  <sheetData>
    <row r="1" spans="1:33" s="5" customFormat="1" ht="85" x14ac:dyDescent="0.2">
      <c r="A1" s="5" t="s">
        <v>0</v>
      </c>
      <c r="B1" s="6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5" t="s">
        <v>29</v>
      </c>
      <c r="AE1" s="5" t="s">
        <v>30</v>
      </c>
      <c r="AF1" s="5" t="s">
        <v>31</v>
      </c>
      <c r="AG1" s="5" t="s">
        <v>32</v>
      </c>
    </row>
    <row r="2" spans="1:33" x14ac:dyDescent="0.2">
      <c r="A2">
        <v>0</v>
      </c>
      <c r="B2" s="7">
        <v>699</v>
      </c>
      <c r="C2">
        <v>1006</v>
      </c>
      <c r="D2">
        <v>1377</v>
      </c>
      <c r="E2">
        <v>2283</v>
      </c>
      <c r="F2">
        <v>4190</v>
      </c>
      <c r="G2">
        <v>1797</v>
      </c>
      <c r="H2">
        <v>6213</v>
      </c>
      <c r="I2">
        <v>2457</v>
      </c>
      <c r="J2">
        <v>4009</v>
      </c>
      <c r="K2">
        <v>792</v>
      </c>
      <c r="L2">
        <v>2249</v>
      </c>
      <c r="M2">
        <v>57796</v>
      </c>
      <c r="N2">
        <v>1665</v>
      </c>
      <c r="O2">
        <v>3005</v>
      </c>
      <c r="P2">
        <v>1123</v>
      </c>
      <c r="Q2">
        <v>1100</v>
      </c>
      <c r="R2">
        <v>404</v>
      </c>
      <c r="S2">
        <v>2165</v>
      </c>
      <c r="T2">
        <v>527</v>
      </c>
      <c r="U2">
        <v>1700</v>
      </c>
      <c r="V2">
        <v>1520</v>
      </c>
      <c r="W2">
        <v>2774</v>
      </c>
      <c r="X2">
        <v>868</v>
      </c>
      <c r="Y2">
        <v>935</v>
      </c>
      <c r="Z2">
        <v>748</v>
      </c>
      <c r="AA2">
        <v>743</v>
      </c>
      <c r="AB2">
        <v>3544</v>
      </c>
      <c r="AC2">
        <v>1932</v>
      </c>
      <c r="AD2">
        <v>1340</v>
      </c>
      <c r="AE2">
        <v>1129</v>
      </c>
      <c r="AF2">
        <v>1792</v>
      </c>
      <c r="AG2">
        <v>1710</v>
      </c>
    </row>
    <row r="3" spans="1:33" x14ac:dyDescent="0.2">
      <c r="A3">
        <v>1</v>
      </c>
      <c r="B3" s="7">
        <v>649</v>
      </c>
      <c r="C3">
        <v>1004</v>
      </c>
      <c r="D3">
        <v>1360</v>
      </c>
      <c r="E3">
        <v>2284</v>
      </c>
      <c r="F3">
        <v>4115</v>
      </c>
      <c r="G3">
        <v>1881</v>
      </c>
      <c r="H3">
        <v>5699</v>
      </c>
      <c r="I3">
        <v>2437</v>
      </c>
      <c r="J3">
        <v>3894</v>
      </c>
      <c r="K3">
        <v>757</v>
      </c>
      <c r="L3">
        <v>2217</v>
      </c>
      <c r="M3">
        <v>56420</v>
      </c>
      <c r="N3">
        <v>1550</v>
      </c>
      <c r="O3">
        <v>2987</v>
      </c>
      <c r="P3">
        <v>1121</v>
      </c>
      <c r="Q3">
        <v>1008</v>
      </c>
      <c r="R3">
        <v>406</v>
      </c>
      <c r="S3">
        <v>2235</v>
      </c>
      <c r="T3">
        <v>482</v>
      </c>
      <c r="U3">
        <v>1531</v>
      </c>
      <c r="V3">
        <v>1566</v>
      </c>
      <c r="W3">
        <v>2638</v>
      </c>
      <c r="X3">
        <v>821</v>
      </c>
      <c r="Y3">
        <v>937</v>
      </c>
      <c r="Z3">
        <v>764</v>
      </c>
      <c r="AA3">
        <v>766</v>
      </c>
      <c r="AB3">
        <v>3673</v>
      </c>
      <c r="AC3">
        <v>1808</v>
      </c>
      <c r="AD3">
        <v>1266</v>
      </c>
      <c r="AE3">
        <v>1158</v>
      </c>
      <c r="AF3">
        <v>1724</v>
      </c>
      <c r="AG3">
        <v>1682</v>
      </c>
    </row>
    <row r="4" spans="1:33" x14ac:dyDescent="0.2">
      <c r="A4">
        <v>2</v>
      </c>
      <c r="B4" s="7">
        <v>689</v>
      </c>
      <c r="C4">
        <v>1061</v>
      </c>
      <c r="D4">
        <v>1473</v>
      </c>
      <c r="E4">
        <v>2306</v>
      </c>
      <c r="F4">
        <v>4290</v>
      </c>
      <c r="G4">
        <v>1971</v>
      </c>
      <c r="H4">
        <v>5830</v>
      </c>
      <c r="I4">
        <v>2489</v>
      </c>
      <c r="J4">
        <v>4308</v>
      </c>
      <c r="K4">
        <v>792</v>
      </c>
      <c r="L4">
        <v>2349</v>
      </c>
      <c r="M4">
        <v>59210</v>
      </c>
      <c r="N4">
        <v>1651</v>
      </c>
      <c r="O4">
        <v>3102</v>
      </c>
      <c r="P4">
        <v>1179</v>
      </c>
      <c r="Q4">
        <v>1169</v>
      </c>
      <c r="R4">
        <v>453</v>
      </c>
      <c r="S4">
        <v>2373</v>
      </c>
      <c r="T4">
        <v>544</v>
      </c>
      <c r="U4">
        <v>1694</v>
      </c>
      <c r="V4">
        <v>1526</v>
      </c>
      <c r="W4">
        <v>2851</v>
      </c>
      <c r="X4">
        <v>870</v>
      </c>
      <c r="Y4">
        <v>945</v>
      </c>
      <c r="Z4">
        <v>893</v>
      </c>
      <c r="AA4">
        <v>764</v>
      </c>
      <c r="AB4">
        <v>3734</v>
      </c>
      <c r="AC4">
        <v>1836</v>
      </c>
      <c r="AD4">
        <v>1329</v>
      </c>
      <c r="AE4">
        <v>1108</v>
      </c>
      <c r="AF4">
        <v>1835</v>
      </c>
      <c r="AG4">
        <v>1796</v>
      </c>
    </row>
    <row r="5" spans="1:33" x14ac:dyDescent="0.2">
      <c r="A5">
        <v>3</v>
      </c>
      <c r="B5" s="7">
        <v>754</v>
      </c>
      <c r="C5">
        <v>1085</v>
      </c>
      <c r="D5">
        <v>1468</v>
      </c>
      <c r="E5">
        <v>2294</v>
      </c>
      <c r="F5">
        <v>4437</v>
      </c>
      <c r="G5">
        <v>2074</v>
      </c>
      <c r="H5">
        <v>5580</v>
      </c>
      <c r="I5">
        <v>2613</v>
      </c>
      <c r="J5">
        <v>4384</v>
      </c>
      <c r="K5">
        <v>799</v>
      </c>
      <c r="L5">
        <v>2438</v>
      </c>
      <c r="M5">
        <v>60484</v>
      </c>
      <c r="N5">
        <v>1714</v>
      </c>
      <c r="O5">
        <v>3120</v>
      </c>
      <c r="P5">
        <v>1203</v>
      </c>
      <c r="Q5">
        <v>1219</v>
      </c>
      <c r="R5">
        <v>432</v>
      </c>
      <c r="S5">
        <v>2352</v>
      </c>
      <c r="T5">
        <v>583</v>
      </c>
      <c r="U5">
        <v>1603</v>
      </c>
      <c r="V5">
        <v>1557</v>
      </c>
      <c r="W5">
        <v>2928</v>
      </c>
      <c r="X5">
        <v>900</v>
      </c>
      <c r="Y5">
        <v>1009</v>
      </c>
      <c r="Z5">
        <v>859</v>
      </c>
      <c r="AA5">
        <v>825</v>
      </c>
      <c r="AB5">
        <v>3856</v>
      </c>
      <c r="AC5">
        <v>2048</v>
      </c>
      <c r="AD5">
        <v>1476</v>
      </c>
      <c r="AE5">
        <v>1148</v>
      </c>
      <c r="AF5">
        <v>1864</v>
      </c>
      <c r="AG5">
        <v>1862</v>
      </c>
    </row>
    <row r="6" spans="1:33" x14ac:dyDescent="0.2">
      <c r="A6">
        <v>4</v>
      </c>
      <c r="B6" s="7">
        <v>745</v>
      </c>
      <c r="C6">
        <v>1047</v>
      </c>
      <c r="D6">
        <v>1505</v>
      </c>
      <c r="E6">
        <v>2243</v>
      </c>
      <c r="F6">
        <v>4620</v>
      </c>
      <c r="G6">
        <v>2089</v>
      </c>
      <c r="H6">
        <v>5624</v>
      </c>
      <c r="I6">
        <v>2658</v>
      </c>
      <c r="J6">
        <v>4422</v>
      </c>
      <c r="K6">
        <v>830</v>
      </c>
      <c r="L6">
        <v>2543</v>
      </c>
      <c r="M6">
        <v>61505</v>
      </c>
      <c r="N6">
        <v>1720</v>
      </c>
      <c r="O6">
        <v>3267</v>
      </c>
      <c r="P6">
        <v>1234</v>
      </c>
      <c r="Q6">
        <v>1220</v>
      </c>
      <c r="R6">
        <v>450</v>
      </c>
      <c r="S6">
        <v>2467</v>
      </c>
      <c r="T6">
        <v>559</v>
      </c>
      <c r="U6">
        <v>1732</v>
      </c>
      <c r="V6">
        <v>1593</v>
      </c>
      <c r="W6">
        <v>3026</v>
      </c>
      <c r="X6">
        <v>873</v>
      </c>
      <c r="Y6">
        <v>1007</v>
      </c>
      <c r="Z6">
        <v>833</v>
      </c>
      <c r="AA6">
        <v>820</v>
      </c>
      <c r="AB6">
        <v>3870</v>
      </c>
      <c r="AC6">
        <v>2072</v>
      </c>
      <c r="AD6">
        <v>1390</v>
      </c>
      <c r="AE6">
        <v>1208</v>
      </c>
      <c r="AF6">
        <v>1941</v>
      </c>
      <c r="AG6">
        <v>1897</v>
      </c>
    </row>
    <row r="7" spans="1:33" x14ac:dyDescent="0.2">
      <c r="A7">
        <v>5</v>
      </c>
      <c r="B7" s="7">
        <v>749</v>
      </c>
      <c r="C7">
        <v>1143</v>
      </c>
      <c r="D7">
        <v>1620</v>
      </c>
      <c r="E7">
        <v>2362</v>
      </c>
      <c r="F7">
        <v>4753</v>
      </c>
      <c r="G7">
        <v>2174</v>
      </c>
      <c r="H7">
        <v>5575</v>
      </c>
      <c r="I7">
        <v>2868</v>
      </c>
      <c r="J7">
        <v>4639</v>
      </c>
      <c r="K7">
        <v>849</v>
      </c>
      <c r="L7">
        <v>2612</v>
      </c>
      <c r="M7">
        <v>64026</v>
      </c>
      <c r="N7">
        <v>1873</v>
      </c>
      <c r="O7">
        <v>3296</v>
      </c>
      <c r="P7">
        <v>1337</v>
      </c>
      <c r="Q7">
        <v>1248</v>
      </c>
      <c r="R7">
        <v>447</v>
      </c>
      <c r="S7">
        <v>2484</v>
      </c>
      <c r="T7">
        <v>646</v>
      </c>
      <c r="U7">
        <v>1793</v>
      </c>
      <c r="V7">
        <v>1712</v>
      </c>
      <c r="W7">
        <v>3121</v>
      </c>
      <c r="X7">
        <v>882</v>
      </c>
      <c r="Y7">
        <v>1099</v>
      </c>
      <c r="Z7">
        <v>913</v>
      </c>
      <c r="AA7">
        <v>819</v>
      </c>
      <c r="AB7">
        <v>4053</v>
      </c>
      <c r="AC7">
        <v>2070</v>
      </c>
      <c r="AD7">
        <v>1515</v>
      </c>
      <c r="AE7">
        <v>1276</v>
      </c>
      <c r="AF7">
        <v>2022</v>
      </c>
      <c r="AG7">
        <v>2076</v>
      </c>
    </row>
    <row r="8" spans="1:33" x14ac:dyDescent="0.2">
      <c r="A8">
        <v>6</v>
      </c>
      <c r="B8" s="7">
        <v>750</v>
      </c>
      <c r="C8">
        <v>1176</v>
      </c>
      <c r="D8">
        <v>1656</v>
      </c>
      <c r="E8">
        <v>2496</v>
      </c>
      <c r="F8">
        <v>5072</v>
      </c>
      <c r="G8">
        <v>2224</v>
      </c>
      <c r="H8">
        <v>5813</v>
      </c>
      <c r="I8">
        <v>2879</v>
      </c>
      <c r="J8">
        <v>4863</v>
      </c>
      <c r="K8">
        <v>855</v>
      </c>
      <c r="L8">
        <v>2720</v>
      </c>
      <c r="M8">
        <v>66714</v>
      </c>
      <c r="N8">
        <v>1848</v>
      </c>
      <c r="O8">
        <v>3506</v>
      </c>
      <c r="P8">
        <v>1432</v>
      </c>
      <c r="Q8">
        <v>1328</v>
      </c>
      <c r="R8">
        <v>468</v>
      </c>
      <c r="S8">
        <v>2621</v>
      </c>
      <c r="T8">
        <v>624</v>
      </c>
      <c r="U8">
        <v>1922</v>
      </c>
      <c r="V8">
        <v>1764</v>
      </c>
      <c r="W8">
        <v>3216</v>
      </c>
      <c r="X8">
        <v>995</v>
      </c>
      <c r="Y8">
        <v>1079</v>
      </c>
      <c r="Z8">
        <v>923</v>
      </c>
      <c r="AA8">
        <v>824</v>
      </c>
      <c r="AB8">
        <v>4198</v>
      </c>
      <c r="AC8">
        <v>2202</v>
      </c>
      <c r="AD8">
        <v>1627</v>
      </c>
      <c r="AE8">
        <v>1352</v>
      </c>
      <c r="AF8">
        <v>2165</v>
      </c>
      <c r="AG8">
        <v>2116</v>
      </c>
    </row>
    <row r="9" spans="1:33" x14ac:dyDescent="0.2">
      <c r="A9">
        <v>7</v>
      </c>
      <c r="B9" s="7">
        <v>889</v>
      </c>
      <c r="C9">
        <v>1162</v>
      </c>
      <c r="D9">
        <v>1663</v>
      </c>
      <c r="E9">
        <v>2564</v>
      </c>
      <c r="F9">
        <v>5342</v>
      </c>
      <c r="G9">
        <v>2212</v>
      </c>
      <c r="H9">
        <v>5912</v>
      </c>
      <c r="I9">
        <v>2974</v>
      </c>
      <c r="J9">
        <v>5053</v>
      </c>
      <c r="K9">
        <v>893</v>
      </c>
      <c r="L9">
        <v>2659</v>
      </c>
      <c r="M9">
        <v>69001</v>
      </c>
      <c r="N9">
        <v>1957</v>
      </c>
      <c r="O9">
        <v>3655</v>
      </c>
      <c r="P9">
        <v>1467</v>
      </c>
      <c r="Q9">
        <v>1409</v>
      </c>
      <c r="R9">
        <v>493</v>
      </c>
      <c r="S9">
        <v>2603</v>
      </c>
      <c r="T9">
        <v>676</v>
      </c>
      <c r="U9">
        <v>1950</v>
      </c>
      <c r="V9">
        <v>1798</v>
      </c>
      <c r="W9">
        <v>3439</v>
      </c>
      <c r="X9">
        <v>968</v>
      </c>
      <c r="Y9">
        <v>1238</v>
      </c>
      <c r="Z9">
        <v>1011</v>
      </c>
      <c r="AA9">
        <v>934</v>
      </c>
      <c r="AB9">
        <v>4394</v>
      </c>
      <c r="AC9">
        <v>2236</v>
      </c>
      <c r="AD9">
        <v>1689</v>
      </c>
      <c r="AE9">
        <v>1331</v>
      </c>
      <c r="AF9">
        <v>2233</v>
      </c>
      <c r="AG9">
        <v>2197</v>
      </c>
    </row>
    <row r="10" spans="1:33" x14ac:dyDescent="0.2">
      <c r="A10">
        <v>8</v>
      </c>
      <c r="B10" s="7">
        <v>819</v>
      </c>
      <c r="C10">
        <v>1217</v>
      </c>
      <c r="D10">
        <v>1670</v>
      </c>
      <c r="E10">
        <v>2516</v>
      </c>
      <c r="F10">
        <v>5410</v>
      </c>
      <c r="G10">
        <v>2319</v>
      </c>
      <c r="H10">
        <v>6086</v>
      </c>
      <c r="I10">
        <v>2985</v>
      </c>
      <c r="J10">
        <v>5360</v>
      </c>
      <c r="K10">
        <v>923</v>
      </c>
      <c r="L10">
        <v>2915</v>
      </c>
      <c r="M10">
        <v>70733</v>
      </c>
      <c r="N10">
        <v>1876</v>
      </c>
      <c r="O10">
        <v>3699</v>
      </c>
      <c r="P10">
        <v>1483</v>
      </c>
      <c r="Q10">
        <v>1446</v>
      </c>
      <c r="R10">
        <v>509</v>
      </c>
      <c r="S10">
        <v>2770</v>
      </c>
      <c r="T10">
        <v>661</v>
      </c>
      <c r="U10">
        <v>2059</v>
      </c>
      <c r="V10">
        <v>1792</v>
      </c>
      <c r="W10">
        <v>3593</v>
      </c>
      <c r="X10">
        <v>991</v>
      </c>
      <c r="Y10">
        <v>1216</v>
      </c>
      <c r="Z10">
        <v>982</v>
      </c>
      <c r="AA10">
        <v>942</v>
      </c>
      <c r="AB10">
        <v>4503</v>
      </c>
      <c r="AC10">
        <v>2314</v>
      </c>
      <c r="AD10">
        <v>1736</v>
      </c>
      <c r="AE10">
        <v>1412</v>
      </c>
      <c r="AF10">
        <v>2292</v>
      </c>
      <c r="AG10">
        <v>2237</v>
      </c>
    </row>
    <row r="11" spans="1:33" x14ac:dyDescent="0.2">
      <c r="A11">
        <v>9</v>
      </c>
      <c r="B11" s="7">
        <v>882</v>
      </c>
      <c r="C11">
        <v>1289</v>
      </c>
      <c r="D11">
        <v>1806</v>
      </c>
      <c r="E11">
        <v>2617</v>
      </c>
      <c r="F11">
        <v>5501</v>
      </c>
      <c r="G11">
        <v>2391</v>
      </c>
      <c r="H11">
        <v>5970</v>
      </c>
      <c r="I11">
        <v>3004</v>
      </c>
      <c r="J11">
        <v>5400</v>
      </c>
      <c r="K11">
        <v>942</v>
      </c>
      <c r="L11">
        <v>2890</v>
      </c>
      <c r="M11">
        <v>72196</v>
      </c>
      <c r="N11">
        <v>2071</v>
      </c>
      <c r="O11">
        <v>3832</v>
      </c>
      <c r="P11">
        <v>1529</v>
      </c>
      <c r="Q11">
        <v>1435</v>
      </c>
      <c r="R11">
        <v>542</v>
      </c>
      <c r="S11">
        <v>2825</v>
      </c>
      <c r="T11">
        <v>746</v>
      </c>
      <c r="U11">
        <v>2124</v>
      </c>
      <c r="V11">
        <v>1886</v>
      </c>
      <c r="W11">
        <v>3637</v>
      </c>
      <c r="X11">
        <v>990</v>
      </c>
      <c r="Y11">
        <v>1210</v>
      </c>
      <c r="Z11">
        <v>1029</v>
      </c>
      <c r="AA11">
        <v>960</v>
      </c>
      <c r="AB11">
        <v>4522</v>
      </c>
      <c r="AC11">
        <v>2267</v>
      </c>
      <c r="AD11">
        <v>1727</v>
      </c>
      <c r="AE11">
        <v>1454</v>
      </c>
      <c r="AF11">
        <v>2354</v>
      </c>
      <c r="AG11">
        <v>2364</v>
      </c>
    </row>
    <row r="12" spans="1:33" x14ac:dyDescent="0.2">
      <c r="A12">
        <v>10</v>
      </c>
      <c r="B12" s="7">
        <v>921</v>
      </c>
      <c r="C12">
        <v>1312</v>
      </c>
      <c r="D12">
        <v>1874</v>
      </c>
      <c r="E12">
        <v>2580</v>
      </c>
      <c r="F12">
        <v>5652</v>
      </c>
      <c r="G12">
        <v>2510</v>
      </c>
      <c r="H12">
        <v>6174</v>
      </c>
      <c r="I12">
        <v>3035</v>
      </c>
      <c r="J12">
        <v>5674</v>
      </c>
      <c r="K12">
        <v>888</v>
      </c>
      <c r="L12">
        <v>2974</v>
      </c>
      <c r="M12">
        <v>74101</v>
      </c>
      <c r="N12">
        <v>2066</v>
      </c>
      <c r="O12">
        <v>3875</v>
      </c>
      <c r="P12">
        <v>1618</v>
      </c>
      <c r="Q12">
        <v>1562</v>
      </c>
      <c r="R12">
        <v>502</v>
      </c>
      <c r="S12">
        <v>2868</v>
      </c>
      <c r="T12">
        <v>728</v>
      </c>
      <c r="U12">
        <v>2125</v>
      </c>
      <c r="V12">
        <v>1907</v>
      </c>
      <c r="W12">
        <v>3756</v>
      </c>
      <c r="X12">
        <v>1034</v>
      </c>
      <c r="Y12">
        <v>1293</v>
      </c>
      <c r="Z12">
        <v>1008</v>
      </c>
      <c r="AA12">
        <v>1018</v>
      </c>
      <c r="AB12">
        <v>4797</v>
      </c>
      <c r="AC12">
        <v>2475</v>
      </c>
      <c r="AD12">
        <v>1775</v>
      </c>
      <c r="AE12">
        <v>1405</v>
      </c>
      <c r="AF12">
        <v>2373</v>
      </c>
      <c r="AG12">
        <v>2322</v>
      </c>
    </row>
    <row r="13" spans="1:33" x14ac:dyDescent="0.2">
      <c r="A13">
        <v>11</v>
      </c>
      <c r="B13" s="7">
        <v>964</v>
      </c>
      <c r="C13">
        <v>1328</v>
      </c>
      <c r="D13">
        <v>1821</v>
      </c>
      <c r="E13">
        <v>2695</v>
      </c>
      <c r="F13">
        <v>5852</v>
      </c>
      <c r="G13">
        <v>2584</v>
      </c>
      <c r="H13">
        <v>6056</v>
      </c>
      <c r="I13">
        <v>3020</v>
      </c>
      <c r="J13">
        <v>5467</v>
      </c>
      <c r="K13">
        <v>971</v>
      </c>
      <c r="L13">
        <v>2978</v>
      </c>
      <c r="M13">
        <v>75159</v>
      </c>
      <c r="N13">
        <v>2116</v>
      </c>
      <c r="O13">
        <v>4081</v>
      </c>
      <c r="P13">
        <v>1609</v>
      </c>
      <c r="Q13">
        <v>1553</v>
      </c>
      <c r="R13">
        <v>531</v>
      </c>
      <c r="S13">
        <v>2979</v>
      </c>
      <c r="T13">
        <v>734</v>
      </c>
      <c r="U13">
        <v>2186</v>
      </c>
      <c r="V13">
        <v>1975</v>
      </c>
      <c r="W13">
        <v>3898</v>
      </c>
      <c r="X13">
        <v>1007</v>
      </c>
      <c r="Y13">
        <v>1267</v>
      </c>
      <c r="Z13">
        <v>1058</v>
      </c>
      <c r="AA13">
        <v>956</v>
      </c>
      <c r="AB13">
        <v>4732</v>
      </c>
      <c r="AC13">
        <v>2431</v>
      </c>
      <c r="AD13">
        <v>1877</v>
      </c>
      <c r="AE13">
        <v>1484</v>
      </c>
      <c r="AF13">
        <v>2410</v>
      </c>
      <c r="AG13">
        <v>2539</v>
      </c>
    </row>
    <row r="14" spans="1:33" x14ac:dyDescent="0.2">
      <c r="A14">
        <v>12</v>
      </c>
      <c r="B14" s="7">
        <v>908</v>
      </c>
      <c r="C14">
        <v>1317</v>
      </c>
      <c r="D14">
        <v>1983</v>
      </c>
      <c r="E14">
        <v>2690</v>
      </c>
      <c r="F14">
        <v>5901</v>
      </c>
      <c r="G14">
        <v>2624</v>
      </c>
      <c r="H14">
        <v>6284</v>
      </c>
      <c r="I14">
        <v>2991</v>
      </c>
      <c r="J14">
        <v>5792</v>
      </c>
      <c r="K14">
        <v>881</v>
      </c>
      <c r="L14">
        <v>2943</v>
      </c>
      <c r="M14">
        <v>76254</v>
      </c>
      <c r="N14">
        <v>2255</v>
      </c>
      <c r="O14">
        <v>4041</v>
      </c>
      <c r="P14">
        <v>1600</v>
      </c>
      <c r="Q14">
        <v>1625</v>
      </c>
      <c r="R14">
        <v>532</v>
      </c>
      <c r="S14">
        <v>2883</v>
      </c>
      <c r="T14">
        <v>731</v>
      </c>
      <c r="U14">
        <v>2211</v>
      </c>
      <c r="V14">
        <v>1962</v>
      </c>
      <c r="W14">
        <v>3876</v>
      </c>
      <c r="X14">
        <v>1057</v>
      </c>
      <c r="Y14">
        <v>1300</v>
      </c>
      <c r="Z14">
        <v>1047</v>
      </c>
      <c r="AA14">
        <v>1027</v>
      </c>
      <c r="AB14">
        <v>4855</v>
      </c>
      <c r="AC14">
        <v>2571</v>
      </c>
      <c r="AD14">
        <v>1933</v>
      </c>
      <c r="AE14">
        <v>1466</v>
      </c>
      <c r="AF14">
        <v>2443</v>
      </c>
      <c r="AG14">
        <v>2525</v>
      </c>
    </row>
    <row r="15" spans="1:33" x14ac:dyDescent="0.2">
      <c r="A15">
        <v>13</v>
      </c>
      <c r="B15" s="7">
        <v>943</v>
      </c>
      <c r="C15">
        <v>1343</v>
      </c>
      <c r="D15">
        <v>1874</v>
      </c>
      <c r="E15">
        <v>2594</v>
      </c>
      <c r="F15">
        <v>5833</v>
      </c>
      <c r="G15">
        <v>2632</v>
      </c>
      <c r="H15">
        <v>6039</v>
      </c>
      <c r="I15">
        <v>2976</v>
      </c>
      <c r="J15">
        <v>5485</v>
      </c>
      <c r="K15">
        <v>979</v>
      </c>
      <c r="L15">
        <v>3039</v>
      </c>
      <c r="M15">
        <v>75256</v>
      </c>
      <c r="N15">
        <v>2194</v>
      </c>
      <c r="O15">
        <v>3967</v>
      </c>
      <c r="P15">
        <v>1612</v>
      </c>
      <c r="Q15">
        <v>1533</v>
      </c>
      <c r="R15">
        <v>497</v>
      </c>
      <c r="S15">
        <v>2951</v>
      </c>
      <c r="T15">
        <v>763</v>
      </c>
      <c r="U15">
        <v>2303</v>
      </c>
      <c r="V15">
        <v>1888</v>
      </c>
      <c r="W15">
        <v>3785</v>
      </c>
      <c r="X15">
        <v>1050</v>
      </c>
      <c r="Y15">
        <v>1356</v>
      </c>
      <c r="Z15">
        <v>1037</v>
      </c>
      <c r="AA15">
        <v>983</v>
      </c>
      <c r="AB15">
        <v>4677</v>
      </c>
      <c r="AC15">
        <v>2502</v>
      </c>
      <c r="AD15">
        <v>1927</v>
      </c>
      <c r="AE15">
        <v>1426</v>
      </c>
      <c r="AF15">
        <v>2621</v>
      </c>
      <c r="AG15">
        <v>2447</v>
      </c>
    </row>
    <row r="16" spans="1:33" x14ac:dyDescent="0.2">
      <c r="A16">
        <v>14</v>
      </c>
      <c r="B16" s="7">
        <v>951</v>
      </c>
      <c r="C16">
        <v>1262</v>
      </c>
      <c r="D16">
        <v>1848</v>
      </c>
      <c r="E16">
        <v>2541</v>
      </c>
      <c r="F16">
        <v>5634</v>
      </c>
      <c r="G16">
        <v>2610</v>
      </c>
      <c r="H16">
        <v>5748</v>
      </c>
      <c r="I16">
        <v>2917</v>
      </c>
      <c r="J16">
        <v>5298</v>
      </c>
      <c r="K16">
        <v>881</v>
      </c>
      <c r="L16">
        <v>3044</v>
      </c>
      <c r="M16">
        <v>73432</v>
      </c>
      <c r="N16">
        <v>2200</v>
      </c>
      <c r="O16">
        <v>3944</v>
      </c>
      <c r="P16">
        <v>1547</v>
      </c>
      <c r="Q16">
        <v>1553</v>
      </c>
      <c r="R16">
        <v>495</v>
      </c>
      <c r="S16">
        <v>2898</v>
      </c>
      <c r="T16">
        <v>724</v>
      </c>
      <c r="U16">
        <v>2161</v>
      </c>
      <c r="V16">
        <v>1916</v>
      </c>
      <c r="W16">
        <v>3694</v>
      </c>
      <c r="X16">
        <v>1024</v>
      </c>
      <c r="Y16">
        <v>1276</v>
      </c>
      <c r="Z16">
        <v>996</v>
      </c>
      <c r="AA16">
        <v>992</v>
      </c>
      <c r="AB16">
        <v>4581</v>
      </c>
      <c r="AC16">
        <v>2522</v>
      </c>
      <c r="AD16">
        <v>1856</v>
      </c>
      <c r="AE16">
        <v>1422</v>
      </c>
      <c r="AF16">
        <v>2413</v>
      </c>
      <c r="AG16">
        <v>2484</v>
      </c>
    </row>
    <row r="17" spans="1:33" x14ac:dyDescent="0.2">
      <c r="A17">
        <v>15</v>
      </c>
      <c r="B17" s="7">
        <v>843</v>
      </c>
      <c r="C17">
        <v>1271</v>
      </c>
      <c r="D17">
        <v>1888</v>
      </c>
      <c r="E17">
        <v>2551</v>
      </c>
      <c r="F17">
        <v>5424</v>
      </c>
      <c r="G17">
        <v>2473</v>
      </c>
      <c r="H17">
        <v>5442</v>
      </c>
      <c r="I17">
        <v>2775</v>
      </c>
      <c r="J17">
        <v>4948</v>
      </c>
      <c r="K17">
        <v>877</v>
      </c>
      <c r="L17">
        <v>2775</v>
      </c>
      <c r="M17">
        <v>70440</v>
      </c>
      <c r="N17">
        <v>2128</v>
      </c>
      <c r="O17">
        <v>3750</v>
      </c>
      <c r="P17">
        <v>1588</v>
      </c>
      <c r="Q17">
        <v>1474</v>
      </c>
      <c r="R17">
        <v>528</v>
      </c>
      <c r="S17">
        <v>2744</v>
      </c>
      <c r="T17">
        <v>742</v>
      </c>
      <c r="U17">
        <v>2140</v>
      </c>
      <c r="V17">
        <v>1840</v>
      </c>
      <c r="W17">
        <v>3500</v>
      </c>
      <c r="X17">
        <v>961</v>
      </c>
      <c r="Y17">
        <v>1252</v>
      </c>
      <c r="Z17">
        <v>1002</v>
      </c>
      <c r="AA17">
        <v>954</v>
      </c>
      <c r="AB17">
        <v>4273</v>
      </c>
      <c r="AC17">
        <v>2428</v>
      </c>
      <c r="AD17">
        <v>1826</v>
      </c>
      <c r="AE17">
        <v>1362</v>
      </c>
      <c r="AF17">
        <v>2361</v>
      </c>
      <c r="AG17">
        <v>2320</v>
      </c>
    </row>
    <row r="18" spans="1:33" x14ac:dyDescent="0.2">
      <c r="A18">
        <v>16</v>
      </c>
      <c r="B18" s="7">
        <v>873</v>
      </c>
      <c r="C18">
        <v>1161</v>
      </c>
      <c r="D18">
        <v>1850</v>
      </c>
      <c r="E18">
        <v>2421</v>
      </c>
      <c r="F18">
        <v>5171</v>
      </c>
      <c r="G18">
        <v>2441</v>
      </c>
      <c r="H18">
        <v>5408</v>
      </c>
      <c r="I18">
        <v>2733</v>
      </c>
      <c r="J18">
        <v>4531</v>
      </c>
      <c r="K18">
        <v>862</v>
      </c>
      <c r="L18">
        <v>2963</v>
      </c>
      <c r="M18">
        <v>67814</v>
      </c>
      <c r="N18">
        <v>2007</v>
      </c>
      <c r="O18">
        <v>3516</v>
      </c>
      <c r="P18">
        <v>1456</v>
      </c>
      <c r="Q18">
        <v>1313</v>
      </c>
      <c r="R18">
        <v>494</v>
      </c>
      <c r="S18">
        <v>2727</v>
      </c>
      <c r="T18">
        <v>667</v>
      </c>
      <c r="U18">
        <v>2071</v>
      </c>
      <c r="V18">
        <v>1878</v>
      </c>
      <c r="W18">
        <v>3275</v>
      </c>
      <c r="X18">
        <v>911</v>
      </c>
      <c r="Y18">
        <v>1166</v>
      </c>
      <c r="Z18">
        <v>1014</v>
      </c>
      <c r="AA18">
        <v>916</v>
      </c>
      <c r="AB18">
        <v>4082</v>
      </c>
      <c r="AC18">
        <v>2312</v>
      </c>
      <c r="AD18">
        <v>1811</v>
      </c>
      <c r="AE18">
        <v>1348</v>
      </c>
      <c r="AF18">
        <v>2305</v>
      </c>
      <c r="AG18">
        <v>2131</v>
      </c>
    </row>
    <row r="19" spans="1:33" x14ac:dyDescent="0.2">
      <c r="A19">
        <v>17</v>
      </c>
      <c r="B19" s="7">
        <v>877</v>
      </c>
      <c r="C19">
        <v>1186</v>
      </c>
      <c r="D19">
        <v>1844</v>
      </c>
      <c r="E19">
        <v>2447</v>
      </c>
      <c r="F19">
        <v>5105</v>
      </c>
      <c r="G19">
        <v>2366</v>
      </c>
      <c r="H19">
        <v>5640</v>
      </c>
      <c r="I19">
        <v>2772</v>
      </c>
      <c r="J19">
        <v>4566</v>
      </c>
      <c r="K19">
        <v>854</v>
      </c>
      <c r="L19">
        <v>2786</v>
      </c>
      <c r="M19">
        <v>68026</v>
      </c>
      <c r="N19">
        <v>2103</v>
      </c>
      <c r="O19">
        <v>3618</v>
      </c>
      <c r="P19">
        <v>1465</v>
      </c>
      <c r="Q19">
        <v>1421</v>
      </c>
      <c r="R19">
        <v>496</v>
      </c>
      <c r="S19">
        <v>2615</v>
      </c>
      <c r="T19">
        <v>645</v>
      </c>
      <c r="U19">
        <v>2041</v>
      </c>
      <c r="V19">
        <v>1831</v>
      </c>
      <c r="W19">
        <v>3195</v>
      </c>
      <c r="X19">
        <v>976</v>
      </c>
      <c r="Y19">
        <v>1162</v>
      </c>
      <c r="Z19">
        <v>963</v>
      </c>
      <c r="AA19">
        <v>933</v>
      </c>
      <c r="AB19">
        <v>4112</v>
      </c>
      <c r="AC19">
        <v>2456</v>
      </c>
      <c r="AD19">
        <v>1725</v>
      </c>
      <c r="AE19">
        <v>1328</v>
      </c>
      <c r="AF19">
        <v>2266</v>
      </c>
      <c r="AG19">
        <v>2232</v>
      </c>
    </row>
    <row r="20" spans="1:33" x14ac:dyDescent="0.2">
      <c r="A20">
        <v>18</v>
      </c>
      <c r="B20" s="7">
        <v>903</v>
      </c>
      <c r="C20">
        <v>1107</v>
      </c>
      <c r="D20">
        <v>1690</v>
      </c>
      <c r="E20">
        <v>2648</v>
      </c>
      <c r="F20">
        <v>4786</v>
      </c>
      <c r="G20">
        <v>2285</v>
      </c>
      <c r="H20">
        <v>6434</v>
      </c>
      <c r="I20">
        <v>2938</v>
      </c>
      <c r="J20">
        <v>4473</v>
      </c>
      <c r="K20">
        <v>1033</v>
      </c>
      <c r="L20">
        <v>2546</v>
      </c>
      <c r="M20">
        <v>66752</v>
      </c>
      <c r="N20">
        <v>1928</v>
      </c>
      <c r="O20">
        <v>3596</v>
      </c>
      <c r="P20">
        <v>1414</v>
      </c>
      <c r="Q20">
        <v>1299</v>
      </c>
      <c r="R20">
        <v>449</v>
      </c>
      <c r="S20">
        <v>2701</v>
      </c>
      <c r="T20">
        <v>609</v>
      </c>
      <c r="U20">
        <v>1952</v>
      </c>
      <c r="V20">
        <v>1749</v>
      </c>
      <c r="W20">
        <v>3089</v>
      </c>
      <c r="X20">
        <v>799</v>
      </c>
      <c r="Y20">
        <v>1221</v>
      </c>
      <c r="Z20">
        <v>899</v>
      </c>
      <c r="AA20">
        <v>897</v>
      </c>
      <c r="AB20">
        <v>3971</v>
      </c>
      <c r="AC20">
        <v>2135</v>
      </c>
      <c r="AD20">
        <v>1699</v>
      </c>
      <c r="AE20">
        <v>1264</v>
      </c>
      <c r="AF20">
        <v>2226</v>
      </c>
      <c r="AG20">
        <v>2012</v>
      </c>
    </row>
    <row r="21" spans="1:33" x14ac:dyDescent="0.2">
      <c r="A21">
        <v>19</v>
      </c>
      <c r="B21" s="7">
        <v>827</v>
      </c>
      <c r="C21">
        <v>915</v>
      </c>
      <c r="D21">
        <v>1650</v>
      </c>
      <c r="E21">
        <v>3405</v>
      </c>
      <c r="F21">
        <v>4230</v>
      </c>
      <c r="G21">
        <v>1813</v>
      </c>
      <c r="H21">
        <v>7345</v>
      </c>
      <c r="I21">
        <v>3236</v>
      </c>
      <c r="J21">
        <v>4358</v>
      </c>
      <c r="K21">
        <v>1764</v>
      </c>
      <c r="L21">
        <v>2251</v>
      </c>
      <c r="M21">
        <v>64596</v>
      </c>
      <c r="N21">
        <v>1678</v>
      </c>
      <c r="O21">
        <v>3490</v>
      </c>
      <c r="P21">
        <v>1125</v>
      </c>
      <c r="Q21">
        <v>1130</v>
      </c>
      <c r="R21">
        <v>329</v>
      </c>
      <c r="S21">
        <v>2889</v>
      </c>
      <c r="T21">
        <v>563</v>
      </c>
      <c r="U21">
        <v>1770</v>
      </c>
      <c r="V21">
        <v>1418</v>
      </c>
      <c r="W21">
        <v>2892</v>
      </c>
      <c r="X21">
        <v>734</v>
      </c>
      <c r="Y21">
        <v>1018</v>
      </c>
      <c r="Z21">
        <v>728</v>
      </c>
      <c r="AA21">
        <v>922</v>
      </c>
      <c r="AB21">
        <v>3952</v>
      </c>
      <c r="AC21">
        <v>1776</v>
      </c>
      <c r="AD21">
        <v>1593</v>
      </c>
      <c r="AE21">
        <v>1117</v>
      </c>
      <c r="AF21">
        <v>1813</v>
      </c>
      <c r="AG21">
        <v>1865</v>
      </c>
    </row>
    <row r="22" spans="1:33" x14ac:dyDescent="0.2">
      <c r="A22">
        <v>20</v>
      </c>
      <c r="B22" s="7">
        <v>810</v>
      </c>
      <c r="C22">
        <v>843</v>
      </c>
      <c r="D22">
        <v>1567</v>
      </c>
      <c r="E22">
        <v>3541</v>
      </c>
      <c r="F22">
        <v>3787</v>
      </c>
      <c r="G22">
        <v>1805</v>
      </c>
      <c r="H22">
        <v>8103</v>
      </c>
      <c r="I22">
        <v>3277</v>
      </c>
      <c r="J22">
        <v>4153</v>
      </c>
      <c r="K22">
        <v>2024</v>
      </c>
      <c r="L22">
        <v>2052</v>
      </c>
      <c r="M22">
        <v>63744</v>
      </c>
      <c r="N22">
        <v>1630</v>
      </c>
      <c r="O22">
        <v>3333</v>
      </c>
      <c r="P22">
        <v>1089</v>
      </c>
      <c r="Q22">
        <v>1047</v>
      </c>
      <c r="R22">
        <v>344</v>
      </c>
      <c r="S22">
        <v>2932</v>
      </c>
      <c r="T22">
        <v>561</v>
      </c>
      <c r="U22">
        <v>1917</v>
      </c>
      <c r="V22">
        <v>1310</v>
      </c>
      <c r="W22">
        <v>2730</v>
      </c>
      <c r="X22">
        <v>653</v>
      </c>
      <c r="Y22">
        <v>991</v>
      </c>
      <c r="Z22">
        <v>696</v>
      </c>
      <c r="AA22">
        <v>877</v>
      </c>
      <c r="AB22">
        <v>3700</v>
      </c>
      <c r="AC22">
        <v>1823</v>
      </c>
      <c r="AD22">
        <v>1564</v>
      </c>
      <c r="AE22">
        <v>1105</v>
      </c>
      <c r="AF22">
        <v>1764</v>
      </c>
      <c r="AG22">
        <v>1716</v>
      </c>
    </row>
    <row r="23" spans="1:33" x14ac:dyDescent="0.2">
      <c r="A23">
        <v>21</v>
      </c>
      <c r="B23" s="7">
        <v>813</v>
      </c>
      <c r="C23">
        <v>832</v>
      </c>
      <c r="D23">
        <v>1352</v>
      </c>
      <c r="E23">
        <v>3518</v>
      </c>
      <c r="F23">
        <v>3571</v>
      </c>
      <c r="G23">
        <v>1708</v>
      </c>
      <c r="H23">
        <v>8140</v>
      </c>
      <c r="I23">
        <v>3085</v>
      </c>
      <c r="J23">
        <v>3792</v>
      </c>
      <c r="K23">
        <v>2084</v>
      </c>
      <c r="L23">
        <v>1850</v>
      </c>
      <c r="M23">
        <v>60661</v>
      </c>
      <c r="N23">
        <v>1518</v>
      </c>
      <c r="O23">
        <v>3050</v>
      </c>
      <c r="P23">
        <v>1045</v>
      </c>
      <c r="Q23">
        <v>1025</v>
      </c>
      <c r="R23">
        <v>277</v>
      </c>
      <c r="S23">
        <v>2657</v>
      </c>
      <c r="T23">
        <v>507</v>
      </c>
      <c r="U23">
        <v>1711</v>
      </c>
      <c r="V23">
        <v>1263</v>
      </c>
      <c r="W23">
        <v>2546</v>
      </c>
      <c r="X23">
        <v>668</v>
      </c>
      <c r="Y23">
        <v>882</v>
      </c>
      <c r="Z23">
        <v>688</v>
      </c>
      <c r="AA23">
        <v>858</v>
      </c>
      <c r="AB23">
        <v>3683</v>
      </c>
      <c r="AC23">
        <v>1755</v>
      </c>
      <c r="AD23">
        <v>1481</v>
      </c>
      <c r="AE23">
        <v>1097</v>
      </c>
      <c r="AF23">
        <v>1582</v>
      </c>
      <c r="AG23">
        <v>1623</v>
      </c>
    </row>
    <row r="24" spans="1:33" x14ac:dyDescent="0.2">
      <c r="A24">
        <v>22</v>
      </c>
      <c r="B24" s="7">
        <v>769</v>
      </c>
      <c r="C24">
        <v>855</v>
      </c>
      <c r="D24">
        <v>1503</v>
      </c>
      <c r="E24">
        <v>3677</v>
      </c>
      <c r="F24">
        <v>3552</v>
      </c>
      <c r="G24">
        <v>1731</v>
      </c>
      <c r="H24">
        <v>9091</v>
      </c>
      <c r="I24">
        <v>3242</v>
      </c>
      <c r="J24">
        <v>3827</v>
      </c>
      <c r="K24">
        <v>1964</v>
      </c>
      <c r="L24">
        <v>1776</v>
      </c>
      <c r="M24">
        <v>62218</v>
      </c>
      <c r="N24">
        <v>1556</v>
      </c>
      <c r="O24">
        <v>2890</v>
      </c>
      <c r="P24">
        <v>993</v>
      </c>
      <c r="Q24">
        <v>994</v>
      </c>
      <c r="R24">
        <v>322</v>
      </c>
      <c r="S24">
        <v>2951</v>
      </c>
      <c r="T24">
        <v>516</v>
      </c>
      <c r="U24">
        <v>1718</v>
      </c>
      <c r="V24">
        <v>1294</v>
      </c>
      <c r="W24">
        <v>2430</v>
      </c>
      <c r="X24">
        <v>667</v>
      </c>
      <c r="Y24">
        <v>915</v>
      </c>
      <c r="Z24">
        <v>665</v>
      </c>
      <c r="AA24">
        <v>815</v>
      </c>
      <c r="AB24">
        <v>3724</v>
      </c>
      <c r="AC24">
        <v>1782</v>
      </c>
      <c r="AD24">
        <v>1471</v>
      </c>
      <c r="AE24">
        <v>1103</v>
      </c>
      <c r="AF24">
        <v>1766</v>
      </c>
      <c r="AG24">
        <v>1659</v>
      </c>
    </row>
    <row r="25" spans="1:33" x14ac:dyDescent="0.2">
      <c r="A25">
        <v>23</v>
      </c>
      <c r="B25" s="7">
        <v>720</v>
      </c>
      <c r="C25">
        <v>875</v>
      </c>
      <c r="D25">
        <v>1281</v>
      </c>
      <c r="E25">
        <v>3500</v>
      </c>
      <c r="F25">
        <v>3388</v>
      </c>
      <c r="G25">
        <v>1571</v>
      </c>
      <c r="H25">
        <v>9981</v>
      </c>
      <c r="I25">
        <v>3247</v>
      </c>
      <c r="J25">
        <v>3733</v>
      </c>
      <c r="K25">
        <v>1722</v>
      </c>
      <c r="L25">
        <v>1726</v>
      </c>
      <c r="M25">
        <v>60922</v>
      </c>
      <c r="N25">
        <v>1597</v>
      </c>
      <c r="O25">
        <v>2860</v>
      </c>
      <c r="P25">
        <v>994</v>
      </c>
      <c r="Q25">
        <v>961</v>
      </c>
      <c r="R25">
        <v>329</v>
      </c>
      <c r="S25">
        <v>2597</v>
      </c>
      <c r="T25">
        <v>498</v>
      </c>
      <c r="U25">
        <v>1579</v>
      </c>
      <c r="V25">
        <v>1242</v>
      </c>
      <c r="W25">
        <v>2320</v>
      </c>
      <c r="X25">
        <v>662</v>
      </c>
      <c r="Y25">
        <v>894</v>
      </c>
      <c r="Z25">
        <v>643</v>
      </c>
      <c r="AA25">
        <v>752</v>
      </c>
      <c r="AB25">
        <v>3783</v>
      </c>
      <c r="AC25">
        <v>1696</v>
      </c>
      <c r="AD25">
        <v>1462</v>
      </c>
      <c r="AE25">
        <v>1052</v>
      </c>
      <c r="AF25">
        <v>1722</v>
      </c>
      <c r="AG25">
        <v>1535</v>
      </c>
    </row>
    <row r="26" spans="1:33" x14ac:dyDescent="0.2">
      <c r="A26">
        <v>24</v>
      </c>
      <c r="B26" s="7">
        <v>669</v>
      </c>
      <c r="C26">
        <v>827</v>
      </c>
      <c r="D26">
        <v>1255</v>
      </c>
      <c r="E26">
        <v>3417</v>
      </c>
      <c r="F26">
        <v>3263</v>
      </c>
      <c r="G26">
        <v>1557</v>
      </c>
      <c r="H26">
        <v>10592</v>
      </c>
      <c r="I26">
        <v>3169</v>
      </c>
      <c r="J26">
        <v>3592</v>
      </c>
      <c r="K26">
        <v>1727</v>
      </c>
      <c r="L26">
        <v>1651</v>
      </c>
      <c r="M26">
        <v>59598</v>
      </c>
      <c r="N26">
        <v>1482</v>
      </c>
      <c r="O26">
        <v>2675</v>
      </c>
      <c r="P26">
        <v>1036</v>
      </c>
      <c r="Q26">
        <v>905</v>
      </c>
      <c r="R26">
        <v>272</v>
      </c>
      <c r="S26">
        <v>2545</v>
      </c>
      <c r="T26">
        <v>446</v>
      </c>
      <c r="U26">
        <v>1469</v>
      </c>
      <c r="V26">
        <v>1159</v>
      </c>
      <c r="W26">
        <v>2253</v>
      </c>
      <c r="X26">
        <v>664</v>
      </c>
      <c r="Y26">
        <v>887</v>
      </c>
      <c r="Z26">
        <v>561</v>
      </c>
      <c r="AA26">
        <v>737</v>
      </c>
      <c r="AB26">
        <v>3650</v>
      </c>
      <c r="AC26">
        <v>1709</v>
      </c>
      <c r="AD26">
        <v>1349</v>
      </c>
      <c r="AE26">
        <v>1077</v>
      </c>
      <c r="AF26">
        <v>1595</v>
      </c>
      <c r="AG26">
        <v>1408</v>
      </c>
    </row>
    <row r="27" spans="1:33" x14ac:dyDescent="0.2">
      <c r="A27">
        <v>25</v>
      </c>
      <c r="B27" s="7">
        <v>625</v>
      </c>
      <c r="C27">
        <v>841</v>
      </c>
      <c r="D27">
        <v>1258</v>
      </c>
      <c r="E27">
        <v>3512</v>
      </c>
      <c r="F27">
        <v>3092</v>
      </c>
      <c r="G27">
        <v>1476</v>
      </c>
      <c r="H27">
        <v>11301</v>
      </c>
      <c r="I27">
        <v>3110</v>
      </c>
      <c r="J27">
        <v>3627</v>
      </c>
      <c r="K27">
        <v>1651</v>
      </c>
      <c r="L27">
        <v>1620</v>
      </c>
      <c r="M27">
        <v>59263</v>
      </c>
      <c r="N27">
        <v>1480</v>
      </c>
      <c r="O27">
        <v>2651</v>
      </c>
      <c r="P27">
        <v>1002</v>
      </c>
      <c r="Q27">
        <v>851</v>
      </c>
      <c r="R27">
        <v>286</v>
      </c>
      <c r="S27">
        <v>2626</v>
      </c>
      <c r="T27">
        <v>441</v>
      </c>
      <c r="U27">
        <v>1415</v>
      </c>
      <c r="V27">
        <v>1136</v>
      </c>
      <c r="W27">
        <v>2042</v>
      </c>
      <c r="X27">
        <v>598</v>
      </c>
      <c r="Y27">
        <v>854</v>
      </c>
      <c r="Z27">
        <v>612</v>
      </c>
      <c r="AA27">
        <v>710</v>
      </c>
      <c r="AB27">
        <v>3634</v>
      </c>
      <c r="AC27">
        <v>1622</v>
      </c>
      <c r="AD27">
        <v>1267</v>
      </c>
      <c r="AE27">
        <v>1041</v>
      </c>
      <c r="AF27">
        <v>1537</v>
      </c>
      <c r="AG27">
        <v>1345</v>
      </c>
    </row>
    <row r="28" spans="1:33" x14ac:dyDescent="0.2">
      <c r="A28">
        <v>26</v>
      </c>
      <c r="B28" s="7">
        <v>663</v>
      </c>
      <c r="C28">
        <v>777</v>
      </c>
      <c r="D28">
        <v>1179</v>
      </c>
      <c r="E28">
        <v>3390</v>
      </c>
      <c r="F28">
        <v>3074</v>
      </c>
      <c r="G28">
        <v>1507</v>
      </c>
      <c r="H28">
        <v>11664</v>
      </c>
      <c r="I28">
        <v>3065</v>
      </c>
      <c r="J28">
        <v>3581</v>
      </c>
      <c r="K28">
        <v>1522</v>
      </c>
      <c r="L28">
        <v>1549</v>
      </c>
      <c r="M28">
        <v>58240</v>
      </c>
      <c r="N28">
        <v>1368</v>
      </c>
      <c r="O28">
        <v>2443</v>
      </c>
      <c r="P28">
        <v>966</v>
      </c>
      <c r="Q28">
        <v>892</v>
      </c>
      <c r="R28">
        <v>282</v>
      </c>
      <c r="S28">
        <v>2557</v>
      </c>
      <c r="T28">
        <v>487</v>
      </c>
      <c r="U28">
        <v>1339</v>
      </c>
      <c r="V28">
        <v>1128</v>
      </c>
      <c r="W28">
        <v>2007</v>
      </c>
      <c r="X28">
        <v>615</v>
      </c>
      <c r="Y28">
        <v>790</v>
      </c>
      <c r="Z28">
        <v>580</v>
      </c>
      <c r="AA28">
        <v>629</v>
      </c>
      <c r="AB28">
        <v>3394</v>
      </c>
      <c r="AC28">
        <v>1530</v>
      </c>
      <c r="AD28">
        <v>1264</v>
      </c>
      <c r="AE28">
        <v>1038</v>
      </c>
      <c r="AF28">
        <v>1580</v>
      </c>
      <c r="AG28">
        <v>1380</v>
      </c>
    </row>
    <row r="29" spans="1:33" x14ac:dyDescent="0.2">
      <c r="A29">
        <v>27</v>
      </c>
      <c r="B29" s="7">
        <v>658</v>
      </c>
      <c r="C29">
        <v>750</v>
      </c>
      <c r="D29">
        <v>1180</v>
      </c>
      <c r="E29">
        <v>3461</v>
      </c>
      <c r="F29">
        <v>3045</v>
      </c>
      <c r="G29">
        <v>1442</v>
      </c>
      <c r="H29">
        <v>11941</v>
      </c>
      <c r="I29">
        <v>2989</v>
      </c>
      <c r="J29">
        <v>3641</v>
      </c>
      <c r="K29">
        <v>1435</v>
      </c>
      <c r="L29">
        <v>1405</v>
      </c>
      <c r="M29">
        <v>58690</v>
      </c>
      <c r="N29">
        <v>1411</v>
      </c>
      <c r="O29">
        <v>2585</v>
      </c>
      <c r="P29">
        <v>972</v>
      </c>
      <c r="Q29">
        <v>897</v>
      </c>
      <c r="R29">
        <v>275</v>
      </c>
      <c r="S29">
        <v>2467</v>
      </c>
      <c r="T29">
        <v>462</v>
      </c>
      <c r="U29">
        <v>1462</v>
      </c>
      <c r="V29">
        <v>1115</v>
      </c>
      <c r="W29">
        <v>2037</v>
      </c>
      <c r="X29">
        <v>639</v>
      </c>
      <c r="Y29">
        <v>822</v>
      </c>
      <c r="Z29">
        <v>568</v>
      </c>
      <c r="AA29">
        <v>631</v>
      </c>
      <c r="AB29">
        <v>3538</v>
      </c>
      <c r="AC29">
        <v>1547</v>
      </c>
      <c r="AD29">
        <v>1304</v>
      </c>
      <c r="AE29">
        <v>1029</v>
      </c>
      <c r="AF29">
        <v>1582</v>
      </c>
      <c r="AG29">
        <v>1400</v>
      </c>
    </row>
    <row r="30" spans="1:33" x14ac:dyDescent="0.2">
      <c r="A30">
        <v>28</v>
      </c>
      <c r="B30" s="7">
        <v>633</v>
      </c>
      <c r="C30">
        <v>752</v>
      </c>
      <c r="D30">
        <v>1187</v>
      </c>
      <c r="E30">
        <v>3461</v>
      </c>
      <c r="F30">
        <v>3066</v>
      </c>
      <c r="G30">
        <v>1475</v>
      </c>
      <c r="H30">
        <v>12020</v>
      </c>
      <c r="I30">
        <v>2869</v>
      </c>
      <c r="J30">
        <v>3597</v>
      </c>
      <c r="K30">
        <v>1458</v>
      </c>
      <c r="L30">
        <v>1554</v>
      </c>
      <c r="M30">
        <v>58690</v>
      </c>
      <c r="N30">
        <v>1345</v>
      </c>
      <c r="O30">
        <v>2558</v>
      </c>
      <c r="P30">
        <v>1016</v>
      </c>
      <c r="Q30">
        <v>871</v>
      </c>
      <c r="R30">
        <v>291</v>
      </c>
      <c r="S30">
        <v>2373</v>
      </c>
      <c r="T30">
        <v>442</v>
      </c>
      <c r="U30">
        <v>1498</v>
      </c>
      <c r="V30">
        <v>1180</v>
      </c>
      <c r="W30">
        <v>2096</v>
      </c>
      <c r="X30">
        <v>588</v>
      </c>
      <c r="Y30">
        <v>829</v>
      </c>
      <c r="Z30">
        <v>580</v>
      </c>
      <c r="AA30">
        <v>615</v>
      </c>
      <c r="AB30">
        <v>3546</v>
      </c>
      <c r="AC30">
        <v>1576</v>
      </c>
      <c r="AD30">
        <v>1262</v>
      </c>
      <c r="AE30">
        <v>972</v>
      </c>
      <c r="AF30">
        <v>1537</v>
      </c>
      <c r="AG30">
        <v>1443</v>
      </c>
    </row>
    <row r="31" spans="1:33" x14ac:dyDescent="0.2">
      <c r="A31">
        <v>29</v>
      </c>
      <c r="B31" s="7">
        <v>713</v>
      </c>
      <c r="C31">
        <v>791</v>
      </c>
      <c r="D31">
        <v>1188</v>
      </c>
      <c r="E31">
        <v>3467</v>
      </c>
      <c r="F31">
        <v>3242</v>
      </c>
      <c r="G31">
        <v>1536</v>
      </c>
      <c r="H31">
        <v>12132</v>
      </c>
      <c r="I31">
        <v>2897</v>
      </c>
      <c r="J31">
        <v>3797</v>
      </c>
      <c r="K31">
        <v>1468</v>
      </c>
      <c r="L31">
        <v>1712</v>
      </c>
      <c r="M31">
        <v>60925</v>
      </c>
      <c r="N31">
        <v>1443</v>
      </c>
      <c r="O31">
        <v>2715</v>
      </c>
      <c r="P31">
        <v>1089</v>
      </c>
      <c r="Q31">
        <v>901</v>
      </c>
      <c r="R31">
        <v>301</v>
      </c>
      <c r="S31">
        <v>2490</v>
      </c>
      <c r="T31">
        <v>461</v>
      </c>
      <c r="U31">
        <v>1505</v>
      </c>
      <c r="V31">
        <v>1257</v>
      </c>
      <c r="W31">
        <v>2169</v>
      </c>
      <c r="X31">
        <v>674</v>
      </c>
      <c r="Y31">
        <v>842</v>
      </c>
      <c r="Z31">
        <v>629</v>
      </c>
      <c r="AA31">
        <v>707</v>
      </c>
      <c r="AB31">
        <v>3636</v>
      </c>
      <c r="AC31">
        <v>1620</v>
      </c>
      <c r="AD31">
        <v>1320</v>
      </c>
      <c r="AE31">
        <v>1095</v>
      </c>
      <c r="AF31">
        <v>1629</v>
      </c>
      <c r="AG31">
        <v>1499</v>
      </c>
    </row>
    <row r="32" spans="1:33" x14ac:dyDescent="0.2">
      <c r="A32">
        <v>30</v>
      </c>
      <c r="B32" s="7">
        <v>705</v>
      </c>
      <c r="C32">
        <v>841</v>
      </c>
      <c r="D32">
        <v>1209</v>
      </c>
      <c r="E32">
        <v>3437</v>
      </c>
      <c r="F32">
        <v>3545</v>
      </c>
      <c r="G32">
        <v>1694</v>
      </c>
      <c r="H32">
        <v>12341</v>
      </c>
      <c r="I32">
        <v>3112</v>
      </c>
      <c r="J32">
        <v>3976</v>
      </c>
      <c r="K32">
        <v>1402</v>
      </c>
      <c r="L32">
        <v>1803</v>
      </c>
      <c r="M32">
        <v>63699</v>
      </c>
      <c r="N32">
        <v>1591</v>
      </c>
      <c r="O32">
        <v>2860</v>
      </c>
      <c r="P32">
        <v>1065</v>
      </c>
      <c r="Q32">
        <v>987</v>
      </c>
      <c r="R32">
        <v>336</v>
      </c>
      <c r="S32">
        <v>2515</v>
      </c>
      <c r="T32">
        <v>550</v>
      </c>
      <c r="U32">
        <v>1570</v>
      </c>
      <c r="V32">
        <v>1353</v>
      </c>
      <c r="W32">
        <v>2353</v>
      </c>
      <c r="X32">
        <v>732</v>
      </c>
      <c r="Y32">
        <v>940</v>
      </c>
      <c r="Z32">
        <v>675</v>
      </c>
      <c r="AA32">
        <v>668</v>
      </c>
      <c r="AB32">
        <v>3821</v>
      </c>
      <c r="AC32">
        <v>1744</v>
      </c>
      <c r="AD32">
        <v>1434</v>
      </c>
      <c r="AE32">
        <v>1098</v>
      </c>
      <c r="AF32">
        <v>1817</v>
      </c>
      <c r="AG32">
        <v>1525</v>
      </c>
    </row>
    <row r="33" spans="1:33" x14ac:dyDescent="0.2">
      <c r="A33">
        <v>31</v>
      </c>
      <c r="B33" s="7">
        <v>739</v>
      </c>
      <c r="C33">
        <v>907</v>
      </c>
      <c r="D33">
        <v>1331</v>
      </c>
      <c r="E33">
        <v>3581</v>
      </c>
      <c r="F33">
        <v>3695</v>
      </c>
      <c r="G33">
        <v>1723</v>
      </c>
      <c r="H33">
        <v>12366</v>
      </c>
      <c r="I33">
        <v>3065</v>
      </c>
      <c r="J33">
        <v>4241</v>
      </c>
      <c r="K33">
        <v>1464</v>
      </c>
      <c r="L33">
        <v>1930</v>
      </c>
      <c r="M33">
        <v>65947</v>
      </c>
      <c r="N33">
        <v>1585</v>
      </c>
      <c r="O33">
        <v>2990</v>
      </c>
      <c r="P33">
        <v>1213</v>
      </c>
      <c r="Q33">
        <v>1021</v>
      </c>
      <c r="R33">
        <v>366</v>
      </c>
      <c r="S33">
        <v>2522</v>
      </c>
      <c r="T33">
        <v>484</v>
      </c>
      <c r="U33">
        <v>1676</v>
      </c>
      <c r="V33">
        <v>1456</v>
      </c>
      <c r="W33">
        <v>2583</v>
      </c>
      <c r="X33">
        <v>738</v>
      </c>
      <c r="Y33">
        <v>925</v>
      </c>
      <c r="Z33">
        <v>728</v>
      </c>
      <c r="AA33">
        <v>695</v>
      </c>
      <c r="AB33">
        <v>3963</v>
      </c>
      <c r="AC33">
        <v>1775</v>
      </c>
      <c r="AD33">
        <v>1461</v>
      </c>
      <c r="AE33">
        <v>1192</v>
      </c>
      <c r="AF33">
        <v>1859</v>
      </c>
      <c r="AG33">
        <v>1673</v>
      </c>
    </row>
    <row r="34" spans="1:33" x14ac:dyDescent="0.2">
      <c r="A34">
        <v>32</v>
      </c>
      <c r="B34" s="7">
        <v>746</v>
      </c>
      <c r="C34">
        <v>996</v>
      </c>
      <c r="D34">
        <v>1330</v>
      </c>
      <c r="E34">
        <v>3564</v>
      </c>
      <c r="F34">
        <v>3841</v>
      </c>
      <c r="G34">
        <v>1863</v>
      </c>
      <c r="H34">
        <v>12044</v>
      </c>
      <c r="I34">
        <v>3165</v>
      </c>
      <c r="J34">
        <v>4328</v>
      </c>
      <c r="K34">
        <v>1354</v>
      </c>
      <c r="L34">
        <v>1954</v>
      </c>
      <c r="M34">
        <v>66795</v>
      </c>
      <c r="N34">
        <v>1697</v>
      </c>
      <c r="O34">
        <v>3013</v>
      </c>
      <c r="P34">
        <v>1150</v>
      </c>
      <c r="Q34">
        <v>1089</v>
      </c>
      <c r="R34">
        <v>380</v>
      </c>
      <c r="S34">
        <v>2672</v>
      </c>
      <c r="T34">
        <v>538</v>
      </c>
      <c r="U34">
        <v>1655</v>
      </c>
      <c r="V34">
        <v>1430</v>
      </c>
      <c r="W34">
        <v>2681</v>
      </c>
      <c r="X34">
        <v>713</v>
      </c>
      <c r="Y34">
        <v>923</v>
      </c>
      <c r="Z34">
        <v>736</v>
      </c>
      <c r="AA34">
        <v>742</v>
      </c>
      <c r="AB34">
        <v>4048</v>
      </c>
      <c r="AC34">
        <v>1814</v>
      </c>
      <c r="AD34">
        <v>1550</v>
      </c>
      <c r="AE34">
        <v>1195</v>
      </c>
      <c r="AF34">
        <v>1882</v>
      </c>
      <c r="AG34">
        <v>1702</v>
      </c>
    </row>
    <row r="35" spans="1:33" x14ac:dyDescent="0.2">
      <c r="A35">
        <v>33</v>
      </c>
      <c r="B35" s="7">
        <v>750</v>
      </c>
      <c r="C35">
        <v>955</v>
      </c>
      <c r="D35">
        <v>1338</v>
      </c>
      <c r="E35">
        <v>3338</v>
      </c>
      <c r="F35">
        <v>3933</v>
      </c>
      <c r="G35">
        <v>1829</v>
      </c>
      <c r="H35">
        <v>11434</v>
      </c>
      <c r="I35">
        <v>3023</v>
      </c>
      <c r="J35">
        <v>4596</v>
      </c>
      <c r="K35">
        <v>1222</v>
      </c>
      <c r="L35">
        <v>2096</v>
      </c>
      <c r="M35">
        <v>66377</v>
      </c>
      <c r="N35">
        <v>1674</v>
      </c>
      <c r="O35">
        <v>3187</v>
      </c>
      <c r="P35">
        <v>1131</v>
      </c>
      <c r="Q35">
        <v>1121</v>
      </c>
      <c r="R35">
        <v>379</v>
      </c>
      <c r="S35">
        <v>2623</v>
      </c>
      <c r="T35">
        <v>549</v>
      </c>
      <c r="U35">
        <v>1736</v>
      </c>
      <c r="V35">
        <v>1519</v>
      </c>
      <c r="W35">
        <v>2655</v>
      </c>
      <c r="X35">
        <v>701</v>
      </c>
      <c r="Y35">
        <v>934</v>
      </c>
      <c r="Z35">
        <v>732</v>
      </c>
      <c r="AA35">
        <v>753</v>
      </c>
      <c r="AB35">
        <v>4079</v>
      </c>
      <c r="AC35">
        <v>1829</v>
      </c>
      <c r="AD35">
        <v>1462</v>
      </c>
      <c r="AE35">
        <v>1189</v>
      </c>
      <c r="AF35">
        <v>1830</v>
      </c>
      <c r="AG35">
        <v>1780</v>
      </c>
    </row>
    <row r="36" spans="1:33" x14ac:dyDescent="0.2">
      <c r="A36">
        <v>34</v>
      </c>
      <c r="B36" s="7">
        <v>774</v>
      </c>
      <c r="C36">
        <v>988</v>
      </c>
      <c r="D36">
        <v>1455</v>
      </c>
      <c r="E36">
        <v>3410</v>
      </c>
      <c r="F36">
        <v>4254</v>
      </c>
      <c r="G36">
        <v>2023</v>
      </c>
      <c r="H36">
        <v>11048</v>
      </c>
      <c r="I36">
        <v>3044</v>
      </c>
      <c r="J36">
        <v>4787</v>
      </c>
      <c r="K36">
        <v>1332</v>
      </c>
      <c r="L36">
        <v>2233</v>
      </c>
      <c r="M36">
        <v>69405</v>
      </c>
      <c r="N36">
        <v>1724</v>
      </c>
      <c r="O36">
        <v>3343</v>
      </c>
      <c r="P36">
        <v>1230</v>
      </c>
      <c r="Q36">
        <v>1179</v>
      </c>
      <c r="R36">
        <v>409</v>
      </c>
      <c r="S36">
        <v>2738</v>
      </c>
      <c r="T36">
        <v>628</v>
      </c>
      <c r="U36">
        <v>1831</v>
      </c>
      <c r="V36">
        <v>1634</v>
      </c>
      <c r="W36">
        <v>2906</v>
      </c>
      <c r="X36">
        <v>839</v>
      </c>
      <c r="Y36">
        <v>1035</v>
      </c>
      <c r="Z36">
        <v>782</v>
      </c>
      <c r="AA36">
        <v>786</v>
      </c>
      <c r="AB36">
        <v>4370</v>
      </c>
      <c r="AC36">
        <v>1963</v>
      </c>
      <c r="AD36">
        <v>1557</v>
      </c>
      <c r="AE36">
        <v>1238</v>
      </c>
      <c r="AF36">
        <v>2019</v>
      </c>
      <c r="AG36">
        <v>1846</v>
      </c>
    </row>
    <row r="37" spans="1:33" x14ac:dyDescent="0.2">
      <c r="A37">
        <v>35</v>
      </c>
      <c r="B37" s="7">
        <v>833</v>
      </c>
      <c r="C37">
        <v>1079</v>
      </c>
      <c r="D37">
        <v>1516</v>
      </c>
      <c r="E37">
        <v>3467</v>
      </c>
      <c r="F37">
        <v>4611</v>
      </c>
      <c r="G37">
        <v>2016</v>
      </c>
      <c r="H37">
        <v>10932</v>
      </c>
      <c r="I37">
        <v>3054</v>
      </c>
      <c r="J37">
        <v>5012</v>
      </c>
      <c r="K37">
        <v>1277</v>
      </c>
      <c r="L37">
        <v>2431</v>
      </c>
      <c r="M37">
        <v>72635</v>
      </c>
      <c r="N37">
        <v>1862</v>
      </c>
      <c r="O37">
        <v>3586</v>
      </c>
      <c r="P37">
        <v>1375</v>
      </c>
      <c r="Q37">
        <v>1353</v>
      </c>
      <c r="R37">
        <v>443</v>
      </c>
      <c r="S37">
        <v>2872</v>
      </c>
      <c r="T37">
        <v>613</v>
      </c>
      <c r="U37">
        <v>1912</v>
      </c>
      <c r="V37">
        <v>1692</v>
      </c>
      <c r="W37">
        <v>3156</v>
      </c>
      <c r="X37">
        <v>850</v>
      </c>
      <c r="Y37">
        <v>1074</v>
      </c>
      <c r="Z37">
        <v>896</v>
      </c>
      <c r="AA37">
        <v>840</v>
      </c>
      <c r="AB37">
        <v>4463</v>
      </c>
      <c r="AC37">
        <v>2157</v>
      </c>
      <c r="AD37">
        <v>1745</v>
      </c>
      <c r="AE37">
        <v>1397</v>
      </c>
      <c r="AF37">
        <v>2138</v>
      </c>
      <c r="AG37">
        <v>1983</v>
      </c>
    </row>
    <row r="38" spans="1:33" x14ac:dyDescent="0.2">
      <c r="A38">
        <v>36</v>
      </c>
      <c r="B38" s="7">
        <v>835</v>
      </c>
      <c r="C38">
        <v>1151</v>
      </c>
      <c r="D38">
        <v>1593</v>
      </c>
      <c r="E38">
        <v>3461</v>
      </c>
      <c r="F38">
        <v>4782</v>
      </c>
      <c r="G38">
        <v>2112</v>
      </c>
      <c r="H38">
        <v>10619</v>
      </c>
      <c r="I38">
        <v>3188</v>
      </c>
      <c r="J38">
        <v>5327</v>
      </c>
      <c r="K38">
        <v>1332</v>
      </c>
      <c r="L38">
        <v>2494</v>
      </c>
      <c r="M38">
        <v>74858</v>
      </c>
      <c r="N38">
        <v>2024</v>
      </c>
      <c r="O38">
        <v>3748</v>
      </c>
      <c r="P38">
        <v>1342</v>
      </c>
      <c r="Q38">
        <v>1384</v>
      </c>
      <c r="R38">
        <v>451</v>
      </c>
      <c r="S38">
        <v>3012</v>
      </c>
      <c r="T38">
        <v>678</v>
      </c>
      <c r="U38">
        <v>1980</v>
      </c>
      <c r="V38">
        <v>1780</v>
      </c>
      <c r="W38">
        <v>3249</v>
      </c>
      <c r="X38">
        <v>894</v>
      </c>
      <c r="Y38">
        <v>1102</v>
      </c>
      <c r="Z38">
        <v>924</v>
      </c>
      <c r="AA38">
        <v>935</v>
      </c>
      <c r="AB38">
        <v>4843</v>
      </c>
      <c r="AC38">
        <v>2146</v>
      </c>
      <c r="AD38">
        <v>1737</v>
      </c>
      <c r="AE38">
        <v>1502</v>
      </c>
      <c r="AF38">
        <v>2131</v>
      </c>
      <c r="AG38">
        <v>2102</v>
      </c>
    </row>
    <row r="39" spans="1:33" x14ac:dyDescent="0.2">
      <c r="A39">
        <v>37</v>
      </c>
      <c r="B39" s="7">
        <v>908</v>
      </c>
      <c r="C39">
        <v>1182</v>
      </c>
      <c r="D39">
        <v>1711</v>
      </c>
      <c r="E39">
        <v>3631</v>
      </c>
      <c r="F39">
        <v>4966</v>
      </c>
      <c r="G39">
        <v>2106</v>
      </c>
      <c r="H39">
        <v>10110</v>
      </c>
      <c r="I39">
        <v>3237</v>
      </c>
      <c r="J39">
        <v>5336</v>
      </c>
      <c r="K39">
        <v>1307</v>
      </c>
      <c r="L39">
        <v>2597</v>
      </c>
      <c r="M39">
        <v>75620</v>
      </c>
      <c r="N39">
        <v>2070</v>
      </c>
      <c r="O39">
        <v>3846</v>
      </c>
      <c r="P39">
        <v>1365</v>
      </c>
      <c r="Q39">
        <v>1441</v>
      </c>
      <c r="R39">
        <v>445</v>
      </c>
      <c r="S39">
        <v>3023</v>
      </c>
      <c r="T39">
        <v>620</v>
      </c>
      <c r="U39">
        <v>1922</v>
      </c>
      <c r="V39">
        <v>1872</v>
      </c>
      <c r="W39">
        <v>3332</v>
      </c>
      <c r="X39">
        <v>924</v>
      </c>
      <c r="Y39">
        <v>1161</v>
      </c>
      <c r="Z39">
        <v>949</v>
      </c>
      <c r="AA39">
        <v>938</v>
      </c>
      <c r="AB39">
        <v>4868</v>
      </c>
      <c r="AC39">
        <v>2159</v>
      </c>
      <c r="AD39">
        <v>1712</v>
      </c>
      <c r="AE39">
        <v>1438</v>
      </c>
      <c r="AF39">
        <v>2177</v>
      </c>
      <c r="AG39">
        <v>2267</v>
      </c>
    </row>
    <row r="40" spans="1:33" x14ac:dyDescent="0.2">
      <c r="A40">
        <v>38</v>
      </c>
      <c r="B40" s="7">
        <v>948</v>
      </c>
      <c r="C40">
        <v>1267</v>
      </c>
      <c r="D40">
        <v>1818</v>
      </c>
      <c r="E40">
        <v>3465</v>
      </c>
      <c r="F40">
        <v>5184</v>
      </c>
      <c r="G40">
        <v>2155</v>
      </c>
      <c r="H40">
        <v>10136</v>
      </c>
      <c r="I40">
        <v>3445</v>
      </c>
      <c r="J40">
        <v>5608</v>
      </c>
      <c r="K40">
        <v>1331</v>
      </c>
      <c r="L40">
        <v>2751</v>
      </c>
      <c r="M40">
        <v>78415</v>
      </c>
      <c r="N40">
        <v>2253</v>
      </c>
      <c r="O40">
        <v>4003</v>
      </c>
      <c r="P40">
        <v>1486</v>
      </c>
      <c r="Q40">
        <v>1538</v>
      </c>
      <c r="R40">
        <v>483</v>
      </c>
      <c r="S40">
        <v>3115</v>
      </c>
      <c r="T40">
        <v>711</v>
      </c>
      <c r="U40">
        <v>2091</v>
      </c>
      <c r="V40">
        <v>1855</v>
      </c>
      <c r="W40">
        <v>3457</v>
      </c>
      <c r="X40">
        <v>956</v>
      </c>
      <c r="Y40">
        <v>1175</v>
      </c>
      <c r="Z40">
        <v>1005</v>
      </c>
      <c r="AA40">
        <v>1016</v>
      </c>
      <c r="AB40">
        <v>4929</v>
      </c>
      <c r="AC40">
        <v>2318</v>
      </c>
      <c r="AD40">
        <v>1805</v>
      </c>
      <c r="AE40">
        <v>1451</v>
      </c>
      <c r="AF40">
        <v>2306</v>
      </c>
      <c r="AG40">
        <v>2354</v>
      </c>
    </row>
    <row r="41" spans="1:33" x14ac:dyDescent="0.2">
      <c r="A41">
        <v>39</v>
      </c>
      <c r="B41" s="7">
        <v>1006</v>
      </c>
      <c r="C41">
        <v>1297</v>
      </c>
      <c r="D41">
        <v>1774</v>
      </c>
      <c r="E41">
        <v>3579</v>
      </c>
      <c r="F41">
        <v>5638</v>
      </c>
      <c r="G41">
        <v>2358</v>
      </c>
      <c r="H41">
        <v>9898</v>
      </c>
      <c r="I41">
        <v>3545</v>
      </c>
      <c r="J41">
        <v>5927</v>
      </c>
      <c r="K41">
        <v>1391</v>
      </c>
      <c r="L41">
        <v>2941</v>
      </c>
      <c r="M41">
        <v>81341</v>
      </c>
      <c r="N41">
        <v>2251</v>
      </c>
      <c r="O41">
        <v>4331</v>
      </c>
      <c r="P41">
        <v>1588</v>
      </c>
      <c r="Q41">
        <v>1601</v>
      </c>
      <c r="R41">
        <v>495</v>
      </c>
      <c r="S41">
        <v>3230</v>
      </c>
      <c r="T41">
        <v>725</v>
      </c>
      <c r="U41">
        <v>2093</v>
      </c>
      <c r="V41">
        <v>1992</v>
      </c>
      <c r="W41">
        <v>3610</v>
      </c>
      <c r="X41">
        <v>1043</v>
      </c>
      <c r="Y41">
        <v>1249</v>
      </c>
      <c r="Z41">
        <v>979</v>
      </c>
      <c r="AA41">
        <v>1023</v>
      </c>
      <c r="AB41">
        <v>5217</v>
      </c>
      <c r="AC41">
        <v>2436</v>
      </c>
      <c r="AD41">
        <v>1828</v>
      </c>
      <c r="AE41">
        <v>1515</v>
      </c>
      <c r="AF41">
        <v>2308</v>
      </c>
      <c r="AG41">
        <v>2473</v>
      </c>
    </row>
    <row r="42" spans="1:33" x14ac:dyDescent="0.2">
      <c r="A42">
        <v>40</v>
      </c>
      <c r="B42" s="7">
        <v>981</v>
      </c>
      <c r="C42">
        <v>1263</v>
      </c>
      <c r="D42">
        <v>1906</v>
      </c>
      <c r="E42">
        <v>3629</v>
      </c>
      <c r="F42">
        <v>5802</v>
      </c>
      <c r="G42">
        <v>2442</v>
      </c>
      <c r="H42">
        <v>9770</v>
      </c>
      <c r="I42">
        <v>3646</v>
      </c>
      <c r="J42">
        <v>6104</v>
      </c>
      <c r="K42">
        <v>1394</v>
      </c>
      <c r="L42">
        <v>3095</v>
      </c>
      <c r="M42">
        <v>83444</v>
      </c>
      <c r="N42">
        <v>2351</v>
      </c>
      <c r="O42">
        <v>4366</v>
      </c>
      <c r="P42">
        <v>1586</v>
      </c>
      <c r="Q42">
        <v>1561</v>
      </c>
      <c r="R42">
        <v>516</v>
      </c>
      <c r="S42">
        <v>3294</v>
      </c>
      <c r="T42">
        <v>805</v>
      </c>
      <c r="U42">
        <v>2289</v>
      </c>
      <c r="V42">
        <v>2069</v>
      </c>
      <c r="W42">
        <v>3714</v>
      </c>
      <c r="X42">
        <v>995</v>
      </c>
      <c r="Y42">
        <v>1397</v>
      </c>
      <c r="Z42">
        <v>1045</v>
      </c>
      <c r="AA42">
        <v>1029</v>
      </c>
      <c r="AB42">
        <v>5397</v>
      </c>
      <c r="AC42">
        <v>2523</v>
      </c>
      <c r="AD42">
        <v>1876</v>
      </c>
      <c r="AE42">
        <v>1504</v>
      </c>
      <c r="AF42">
        <v>2519</v>
      </c>
      <c r="AG42">
        <v>2576</v>
      </c>
    </row>
    <row r="43" spans="1:33" x14ac:dyDescent="0.2">
      <c r="A43">
        <v>41</v>
      </c>
      <c r="B43" s="7">
        <v>1024</v>
      </c>
      <c r="C43">
        <v>1332</v>
      </c>
      <c r="D43">
        <v>1983</v>
      </c>
      <c r="E43">
        <v>3561</v>
      </c>
      <c r="F43">
        <v>5991</v>
      </c>
      <c r="G43">
        <v>2487</v>
      </c>
      <c r="H43">
        <v>9839</v>
      </c>
      <c r="I43">
        <v>3739</v>
      </c>
      <c r="J43">
        <v>6243</v>
      </c>
      <c r="K43">
        <v>1379</v>
      </c>
      <c r="L43">
        <v>3183</v>
      </c>
      <c r="M43">
        <v>85097</v>
      </c>
      <c r="N43">
        <v>2393</v>
      </c>
      <c r="O43">
        <v>4450</v>
      </c>
      <c r="P43">
        <v>1670</v>
      </c>
      <c r="Q43">
        <v>1629</v>
      </c>
      <c r="R43">
        <v>540</v>
      </c>
      <c r="S43">
        <v>3345</v>
      </c>
      <c r="T43">
        <v>777</v>
      </c>
      <c r="U43">
        <v>2310</v>
      </c>
      <c r="V43">
        <v>2069</v>
      </c>
      <c r="W43">
        <v>3818</v>
      </c>
      <c r="X43">
        <v>1072</v>
      </c>
      <c r="Y43">
        <v>1318</v>
      </c>
      <c r="Z43">
        <v>1100</v>
      </c>
      <c r="AA43">
        <v>1055</v>
      </c>
      <c r="AB43">
        <v>5402</v>
      </c>
      <c r="AC43">
        <v>2580</v>
      </c>
      <c r="AD43">
        <v>1999</v>
      </c>
      <c r="AE43">
        <v>1561</v>
      </c>
      <c r="AF43">
        <v>2613</v>
      </c>
      <c r="AG43">
        <v>2635</v>
      </c>
    </row>
    <row r="44" spans="1:33" x14ac:dyDescent="0.2">
      <c r="A44">
        <v>42</v>
      </c>
      <c r="B44" s="7">
        <v>1045</v>
      </c>
      <c r="C44">
        <v>1280</v>
      </c>
      <c r="D44">
        <v>2029</v>
      </c>
      <c r="E44">
        <v>3435</v>
      </c>
      <c r="F44">
        <v>6116</v>
      </c>
      <c r="G44">
        <v>2512</v>
      </c>
      <c r="H44">
        <v>9325</v>
      </c>
      <c r="I44">
        <v>3690</v>
      </c>
      <c r="J44">
        <v>6350</v>
      </c>
      <c r="K44">
        <v>1415</v>
      </c>
      <c r="L44">
        <v>3155</v>
      </c>
      <c r="M44">
        <v>84981</v>
      </c>
      <c r="N44">
        <v>2507</v>
      </c>
      <c r="O44">
        <v>4410</v>
      </c>
      <c r="P44">
        <v>1615</v>
      </c>
      <c r="Q44">
        <v>1635</v>
      </c>
      <c r="R44">
        <v>538</v>
      </c>
      <c r="S44">
        <v>3288</v>
      </c>
      <c r="T44">
        <v>822</v>
      </c>
      <c r="U44">
        <v>2322</v>
      </c>
      <c r="V44">
        <v>2021</v>
      </c>
      <c r="W44">
        <v>3899</v>
      </c>
      <c r="X44">
        <v>976</v>
      </c>
      <c r="Y44">
        <v>1333</v>
      </c>
      <c r="Z44">
        <v>1079</v>
      </c>
      <c r="AA44">
        <v>1089</v>
      </c>
      <c r="AB44">
        <v>5428</v>
      </c>
      <c r="AC44">
        <v>2581</v>
      </c>
      <c r="AD44">
        <v>2094</v>
      </c>
      <c r="AE44">
        <v>1539</v>
      </c>
      <c r="AF44">
        <v>2709</v>
      </c>
      <c r="AG44">
        <v>2744</v>
      </c>
    </row>
    <row r="45" spans="1:33" x14ac:dyDescent="0.2">
      <c r="A45">
        <v>43</v>
      </c>
      <c r="B45" s="7">
        <v>950</v>
      </c>
      <c r="C45">
        <v>1243</v>
      </c>
      <c r="D45">
        <v>1881</v>
      </c>
      <c r="E45">
        <v>3287</v>
      </c>
      <c r="F45">
        <v>5909</v>
      </c>
      <c r="G45">
        <v>2427</v>
      </c>
      <c r="H45">
        <v>8851</v>
      </c>
      <c r="I45">
        <v>3477</v>
      </c>
      <c r="J45">
        <v>6013</v>
      </c>
      <c r="K45">
        <v>1266</v>
      </c>
      <c r="L45">
        <v>3028</v>
      </c>
      <c r="M45">
        <v>80683</v>
      </c>
      <c r="N45">
        <v>2387</v>
      </c>
      <c r="O45">
        <v>4235</v>
      </c>
      <c r="P45">
        <v>1612</v>
      </c>
      <c r="Q45">
        <v>1460</v>
      </c>
      <c r="R45">
        <v>526</v>
      </c>
      <c r="S45">
        <v>3152</v>
      </c>
      <c r="T45">
        <v>744</v>
      </c>
      <c r="U45">
        <v>2096</v>
      </c>
      <c r="V45">
        <v>1919</v>
      </c>
      <c r="W45">
        <v>3773</v>
      </c>
      <c r="X45">
        <v>985</v>
      </c>
      <c r="Y45">
        <v>1236</v>
      </c>
      <c r="Z45">
        <v>1007</v>
      </c>
      <c r="AA45">
        <v>1039</v>
      </c>
      <c r="AB45">
        <v>5275</v>
      </c>
      <c r="AC45">
        <v>2485</v>
      </c>
      <c r="AD45">
        <v>1983</v>
      </c>
      <c r="AE45">
        <v>1462</v>
      </c>
      <c r="AF45">
        <v>2445</v>
      </c>
      <c r="AG45">
        <v>2530</v>
      </c>
    </row>
    <row r="46" spans="1:33" x14ac:dyDescent="0.2">
      <c r="A46">
        <v>44</v>
      </c>
      <c r="B46" s="7">
        <v>907</v>
      </c>
      <c r="C46">
        <v>1216</v>
      </c>
      <c r="D46">
        <v>1871</v>
      </c>
      <c r="E46">
        <v>3103</v>
      </c>
      <c r="F46">
        <v>5667</v>
      </c>
      <c r="G46">
        <v>2426</v>
      </c>
      <c r="H46">
        <v>8370</v>
      </c>
      <c r="I46">
        <v>3246</v>
      </c>
      <c r="J46">
        <v>5683</v>
      </c>
      <c r="K46">
        <v>1213</v>
      </c>
      <c r="L46">
        <v>3027</v>
      </c>
      <c r="M46">
        <v>77319</v>
      </c>
      <c r="N46">
        <v>2349</v>
      </c>
      <c r="O46">
        <v>3988</v>
      </c>
      <c r="P46">
        <v>1597</v>
      </c>
      <c r="Q46">
        <v>1467</v>
      </c>
      <c r="R46">
        <v>518</v>
      </c>
      <c r="S46">
        <v>3054</v>
      </c>
      <c r="T46">
        <v>674</v>
      </c>
      <c r="U46">
        <v>2109</v>
      </c>
      <c r="V46">
        <v>1911</v>
      </c>
      <c r="W46">
        <v>3614</v>
      </c>
      <c r="X46">
        <v>938</v>
      </c>
      <c r="Y46">
        <v>1240</v>
      </c>
      <c r="Z46">
        <v>981</v>
      </c>
      <c r="AA46">
        <v>981</v>
      </c>
      <c r="AB46">
        <v>4623</v>
      </c>
      <c r="AC46">
        <v>2382</v>
      </c>
      <c r="AD46">
        <v>1940</v>
      </c>
      <c r="AE46">
        <v>1394</v>
      </c>
      <c r="AF46">
        <v>2315</v>
      </c>
      <c r="AG46">
        <v>2515</v>
      </c>
    </row>
    <row r="47" spans="1:33" x14ac:dyDescent="0.2">
      <c r="A47">
        <v>45</v>
      </c>
      <c r="B47" s="7">
        <v>945</v>
      </c>
      <c r="C47">
        <v>1125</v>
      </c>
      <c r="D47">
        <v>1876</v>
      </c>
      <c r="E47">
        <v>3078</v>
      </c>
      <c r="F47">
        <v>5719</v>
      </c>
      <c r="G47">
        <v>2428</v>
      </c>
      <c r="H47">
        <v>7914</v>
      </c>
      <c r="I47">
        <v>3052</v>
      </c>
      <c r="J47">
        <v>5650</v>
      </c>
      <c r="K47">
        <v>1215</v>
      </c>
      <c r="L47">
        <v>3038</v>
      </c>
      <c r="M47">
        <v>76216</v>
      </c>
      <c r="N47">
        <v>2264</v>
      </c>
      <c r="O47">
        <v>3966</v>
      </c>
      <c r="P47">
        <v>1551</v>
      </c>
      <c r="Q47">
        <v>1422</v>
      </c>
      <c r="R47">
        <v>506</v>
      </c>
      <c r="S47">
        <v>3059</v>
      </c>
      <c r="T47">
        <v>756</v>
      </c>
      <c r="U47">
        <v>2031</v>
      </c>
      <c r="V47">
        <v>1877</v>
      </c>
      <c r="W47">
        <v>3524</v>
      </c>
      <c r="X47">
        <v>969</v>
      </c>
      <c r="Y47">
        <v>1219</v>
      </c>
      <c r="Z47">
        <v>951</v>
      </c>
      <c r="AA47">
        <v>1000</v>
      </c>
      <c r="AB47">
        <v>4504</v>
      </c>
      <c r="AC47">
        <v>2443</v>
      </c>
      <c r="AD47">
        <v>1919</v>
      </c>
      <c r="AE47">
        <v>1377</v>
      </c>
      <c r="AF47">
        <v>2421</v>
      </c>
      <c r="AG47">
        <v>2417</v>
      </c>
    </row>
    <row r="48" spans="1:33" x14ac:dyDescent="0.2">
      <c r="A48">
        <v>46</v>
      </c>
      <c r="B48" s="7">
        <v>949</v>
      </c>
      <c r="C48">
        <v>1152</v>
      </c>
      <c r="D48">
        <v>1952</v>
      </c>
      <c r="E48">
        <v>3035</v>
      </c>
      <c r="F48">
        <v>5624</v>
      </c>
      <c r="G48">
        <v>2428</v>
      </c>
      <c r="H48">
        <v>7704</v>
      </c>
      <c r="I48">
        <v>3152</v>
      </c>
      <c r="J48">
        <v>5452</v>
      </c>
      <c r="K48">
        <v>1210</v>
      </c>
      <c r="L48">
        <v>2958</v>
      </c>
      <c r="M48">
        <v>75416</v>
      </c>
      <c r="N48">
        <v>2273</v>
      </c>
      <c r="O48">
        <v>3946</v>
      </c>
      <c r="P48">
        <v>1620</v>
      </c>
      <c r="Q48">
        <v>1376</v>
      </c>
      <c r="R48">
        <v>490</v>
      </c>
      <c r="S48">
        <v>3023</v>
      </c>
      <c r="T48">
        <v>667</v>
      </c>
      <c r="U48">
        <v>2117</v>
      </c>
      <c r="V48">
        <v>1950</v>
      </c>
      <c r="W48">
        <v>3594</v>
      </c>
      <c r="X48">
        <v>935</v>
      </c>
      <c r="Y48">
        <v>1241</v>
      </c>
      <c r="Z48">
        <v>1000</v>
      </c>
      <c r="AA48">
        <v>975</v>
      </c>
      <c r="AB48">
        <v>4446</v>
      </c>
      <c r="AC48">
        <v>2346</v>
      </c>
      <c r="AD48">
        <v>1799</v>
      </c>
      <c r="AE48">
        <v>1305</v>
      </c>
      <c r="AF48">
        <v>2289</v>
      </c>
      <c r="AG48">
        <v>2408</v>
      </c>
    </row>
    <row r="49" spans="1:33" x14ac:dyDescent="0.2">
      <c r="A49">
        <v>47</v>
      </c>
      <c r="B49" s="7">
        <v>871</v>
      </c>
      <c r="C49">
        <v>1158</v>
      </c>
      <c r="D49">
        <v>1795</v>
      </c>
      <c r="E49">
        <v>2969</v>
      </c>
      <c r="F49">
        <v>5651</v>
      </c>
      <c r="G49">
        <v>2322</v>
      </c>
      <c r="H49">
        <v>7408</v>
      </c>
      <c r="I49">
        <v>3137</v>
      </c>
      <c r="J49">
        <v>5484</v>
      </c>
      <c r="K49">
        <v>1141</v>
      </c>
      <c r="L49">
        <v>2896</v>
      </c>
      <c r="M49">
        <v>74524</v>
      </c>
      <c r="N49">
        <v>2296</v>
      </c>
      <c r="O49">
        <v>3857</v>
      </c>
      <c r="P49">
        <v>1540</v>
      </c>
      <c r="Q49">
        <v>1339</v>
      </c>
      <c r="R49">
        <v>493</v>
      </c>
      <c r="S49">
        <v>2973</v>
      </c>
      <c r="T49">
        <v>681</v>
      </c>
      <c r="U49">
        <v>2031</v>
      </c>
      <c r="V49">
        <v>1864</v>
      </c>
      <c r="W49">
        <v>3564</v>
      </c>
      <c r="X49">
        <v>942</v>
      </c>
      <c r="Y49">
        <v>1224</v>
      </c>
      <c r="Z49">
        <v>1031</v>
      </c>
      <c r="AA49">
        <v>1023</v>
      </c>
      <c r="AB49">
        <v>4247</v>
      </c>
      <c r="AC49">
        <v>2500</v>
      </c>
      <c r="AD49">
        <v>1830</v>
      </c>
      <c r="AE49">
        <v>1454</v>
      </c>
      <c r="AF49">
        <v>2345</v>
      </c>
      <c r="AG49">
        <v>2458</v>
      </c>
    </row>
    <row r="50" spans="1:33" x14ac:dyDescent="0.2">
      <c r="A50">
        <v>48</v>
      </c>
      <c r="B50" s="7">
        <v>841</v>
      </c>
      <c r="C50">
        <v>1161</v>
      </c>
      <c r="D50">
        <v>1920</v>
      </c>
      <c r="E50">
        <v>2811</v>
      </c>
      <c r="F50">
        <v>5576</v>
      </c>
      <c r="G50">
        <v>2354</v>
      </c>
      <c r="H50">
        <v>7478</v>
      </c>
      <c r="I50">
        <v>3184</v>
      </c>
      <c r="J50">
        <v>5310</v>
      </c>
      <c r="K50">
        <v>1038</v>
      </c>
      <c r="L50">
        <v>2948</v>
      </c>
      <c r="M50">
        <v>73617</v>
      </c>
      <c r="N50">
        <v>2228</v>
      </c>
      <c r="O50">
        <v>3879</v>
      </c>
      <c r="P50">
        <v>1561</v>
      </c>
      <c r="Q50">
        <v>1368</v>
      </c>
      <c r="R50">
        <v>499</v>
      </c>
      <c r="S50">
        <v>2898</v>
      </c>
      <c r="T50">
        <v>626</v>
      </c>
      <c r="U50">
        <v>2062</v>
      </c>
      <c r="V50">
        <v>1863</v>
      </c>
      <c r="W50">
        <v>3426</v>
      </c>
      <c r="X50">
        <v>892</v>
      </c>
      <c r="Y50">
        <v>1204</v>
      </c>
      <c r="Z50">
        <v>992</v>
      </c>
      <c r="AA50">
        <v>945</v>
      </c>
      <c r="AB50">
        <v>4243</v>
      </c>
      <c r="AC50">
        <v>2392</v>
      </c>
      <c r="AD50">
        <v>1798</v>
      </c>
      <c r="AE50">
        <v>1392</v>
      </c>
      <c r="AF50">
        <v>2313</v>
      </c>
      <c r="AG50">
        <v>2415</v>
      </c>
    </row>
    <row r="51" spans="1:33" x14ac:dyDescent="0.2">
      <c r="A51">
        <v>49</v>
      </c>
      <c r="B51" s="7">
        <v>946</v>
      </c>
      <c r="C51">
        <v>1093</v>
      </c>
      <c r="D51">
        <v>1923</v>
      </c>
      <c r="E51">
        <v>2842</v>
      </c>
      <c r="F51">
        <v>5460</v>
      </c>
      <c r="G51">
        <v>2397</v>
      </c>
      <c r="H51">
        <v>7404</v>
      </c>
      <c r="I51">
        <v>3159</v>
      </c>
      <c r="J51">
        <v>5147</v>
      </c>
      <c r="K51">
        <v>1018</v>
      </c>
      <c r="L51">
        <v>2967</v>
      </c>
      <c r="M51">
        <v>73731</v>
      </c>
      <c r="N51">
        <v>2284</v>
      </c>
      <c r="O51">
        <v>3914</v>
      </c>
      <c r="P51">
        <v>1614</v>
      </c>
      <c r="Q51">
        <v>1319</v>
      </c>
      <c r="R51">
        <v>492</v>
      </c>
      <c r="S51">
        <v>2923</v>
      </c>
      <c r="T51">
        <v>688</v>
      </c>
      <c r="U51">
        <v>2084</v>
      </c>
      <c r="V51">
        <v>1885</v>
      </c>
      <c r="W51">
        <v>3450</v>
      </c>
      <c r="X51">
        <v>911</v>
      </c>
      <c r="Y51">
        <v>1184</v>
      </c>
      <c r="Z51">
        <v>957</v>
      </c>
      <c r="AA51">
        <v>981</v>
      </c>
      <c r="AB51">
        <v>4193</v>
      </c>
      <c r="AC51">
        <v>2505</v>
      </c>
      <c r="AD51">
        <v>1826</v>
      </c>
      <c r="AE51">
        <v>1341</v>
      </c>
      <c r="AF51">
        <v>2413</v>
      </c>
      <c r="AG51">
        <v>2411</v>
      </c>
    </row>
    <row r="52" spans="1:33" x14ac:dyDescent="0.2">
      <c r="A52">
        <v>50</v>
      </c>
      <c r="B52" s="7">
        <v>897</v>
      </c>
      <c r="C52">
        <v>1160</v>
      </c>
      <c r="D52">
        <v>1979</v>
      </c>
      <c r="E52">
        <v>2894</v>
      </c>
      <c r="F52">
        <v>5363</v>
      </c>
      <c r="G52">
        <v>2389</v>
      </c>
      <c r="H52">
        <v>7474</v>
      </c>
      <c r="I52">
        <v>3101</v>
      </c>
      <c r="J52">
        <v>4904</v>
      </c>
      <c r="K52">
        <v>975</v>
      </c>
      <c r="L52">
        <v>2826</v>
      </c>
      <c r="M52">
        <v>72249</v>
      </c>
      <c r="N52">
        <v>2261</v>
      </c>
      <c r="O52">
        <v>3778</v>
      </c>
      <c r="P52">
        <v>1503</v>
      </c>
      <c r="Q52">
        <v>1339</v>
      </c>
      <c r="R52">
        <v>504</v>
      </c>
      <c r="S52">
        <v>2867</v>
      </c>
      <c r="T52">
        <v>621</v>
      </c>
      <c r="U52">
        <v>2093</v>
      </c>
      <c r="V52">
        <v>1893</v>
      </c>
      <c r="W52">
        <v>3410</v>
      </c>
      <c r="X52">
        <v>879</v>
      </c>
      <c r="Y52">
        <v>1183</v>
      </c>
      <c r="Z52">
        <v>990</v>
      </c>
      <c r="AA52">
        <v>911</v>
      </c>
      <c r="AB52">
        <v>3895</v>
      </c>
      <c r="AC52">
        <v>2305</v>
      </c>
      <c r="AD52">
        <v>1754</v>
      </c>
      <c r="AE52">
        <v>1329</v>
      </c>
      <c r="AF52">
        <v>2437</v>
      </c>
      <c r="AG52">
        <v>2335</v>
      </c>
    </row>
    <row r="53" spans="1:33" x14ac:dyDescent="0.2">
      <c r="A53">
        <v>51</v>
      </c>
      <c r="B53" s="7">
        <v>815</v>
      </c>
      <c r="C53">
        <v>1117</v>
      </c>
      <c r="D53">
        <v>1827</v>
      </c>
      <c r="E53">
        <v>2760</v>
      </c>
      <c r="F53">
        <v>5266</v>
      </c>
      <c r="G53">
        <v>2301</v>
      </c>
      <c r="H53">
        <v>7151</v>
      </c>
      <c r="I53">
        <v>2983</v>
      </c>
      <c r="J53">
        <v>4566</v>
      </c>
      <c r="K53">
        <v>997</v>
      </c>
      <c r="L53">
        <v>2845</v>
      </c>
      <c r="M53">
        <v>69951</v>
      </c>
      <c r="N53">
        <v>2195</v>
      </c>
      <c r="O53">
        <v>3539</v>
      </c>
      <c r="P53">
        <v>1432</v>
      </c>
      <c r="Q53">
        <v>1294</v>
      </c>
      <c r="R53">
        <v>485</v>
      </c>
      <c r="S53">
        <v>2803</v>
      </c>
      <c r="T53">
        <v>658</v>
      </c>
      <c r="U53">
        <v>2028</v>
      </c>
      <c r="V53">
        <v>1888</v>
      </c>
      <c r="W53">
        <v>3182</v>
      </c>
      <c r="X53">
        <v>832</v>
      </c>
      <c r="Y53">
        <v>1130</v>
      </c>
      <c r="Z53">
        <v>956</v>
      </c>
      <c r="AA53">
        <v>935</v>
      </c>
      <c r="AB53">
        <v>3834</v>
      </c>
      <c r="AC53">
        <v>2351</v>
      </c>
      <c r="AD53">
        <v>1776</v>
      </c>
      <c r="AE53">
        <v>1321</v>
      </c>
      <c r="AF53">
        <v>2342</v>
      </c>
      <c r="AG53">
        <v>2342</v>
      </c>
    </row>
    <row r="54" spans="1:33" x14ac:dyDescent="0.2">
      <c r="A54">
        <v>52</v>
      </c>
      <c r="B54" s="7">
        <v>823</v>
      </c>
      <c r="C54">
        <v>1110</v>
      </c>
      <c r="D54">
        <v>1895</v>
      </c>
      <c r="E54">
        <v>2732</v>
      </c>
      <c r="F54">
        <v>5071</v>
      </c>
      <c r="G54">
        <v>2352</v>
      </c>
      <c r="H54">
        <v>7116</v>
      </c>
      <c r="I54">
        <v>2933</v>
      </c>
      <c r="J54">
        <v>4300</v>
      </c>
      <c r="K54">
        <v>918</v>
      </c>
      <c r="L54">
        <v>2729</v>
      </c>
      <c r="M54">
        <v>68770</v>
      </c>
      <c r="N54">
        <v>2306</v>
      </c>
      <c r="O54">
        <v>3425</v>
      </c>
      <c r="P54">
        <v>1409</v>
      </c>
      <c r="Q54">
        <v>1268</v>
      </c>
      <c r="R54">
        <v>506</v>
      </c>
      <c r="S54">
        <v>2795</v>
      </c>
      <c r="T54">
        <v>624</v>
      </c>
      <c r="U54">
        <v>1965</v>
      </c>
      <c r="V54">
        <v>1921</v>
      </c>
      <c r="W54">
        <v>3104</v>
      </c>
      <c r="X54">
        <v>856</v>
      </c>
      <c r="Y54">
        <v>1100</v>
      </c>
      <c r="Z54">
        <v>991</v>
      </c>
      <c r="AA54">
        <v>942</v>
      </c>
      <c r="AB54">
        <v>3698</v>
      </c>
      <c r="AC54">
        <v>2277</v>
      </c>
      <c r="AD54">
        <v>1707</v>
      </c>
      <c r="AE54">
        <v>1308</v>
      </c>
      <c r="AF54">
        <v>2335</v>
      </c>
      <c r="AG54">
        <v>2254</v>
      </c>
    </row>
    <row r="55" spans="1:33" x14ac:dyDescent="0.2">
      <c r="A55">
        <v>53</v>
      </c>
      <c r="B55" s="7">
        <v>785</v>
      </c>
      <c r="C55">
        <v>1044</v>
      </c>
      <c r="D55">
        <v>1743</v>
      </c>
      <c r="E55">
        <v>2525</v>
      </c>
      <c r="F55">
        <v>4833</v>
      </c>
      <c r="G55">
        <v>2284</v>
      </c>
      <c r="H55">
        <v>6622</v>
      </c>
      <c r="I55">
        <v>2826</v>
      </c>
      <c r="J55">
        <v>4029</v>
      </c>
      <c r="K55">
        <v>903</v>
      </c>
      <c r="L55">
        <v>2592</v>
      </c>
      <c r="M55">
        <v>64815</v>
      </c>
      <c r="N55">
        <v>2167</v>
      </c>
      <c r="O55">
        <v>3217</v>
      </c>
      <c r="P55">
        <v>1419</v>
      </c>
      <c r="Q55">
        <v>1162</v>
      </c>
      <c r="R55">
        <v>477</v>
      </c>
      <c r="S55">
        <v>2491</v>
      </c>
      <c r="T55">
        <v>600</v>
      </c>
      <c r="U55">
        <v>1878</v>
      </c>
      <c r="V55">
        <v>1848</v>
      </c>
      <c r="W55">
        <v>2879</v>
      </c>
      <c r="X55">
        <v>817</v>
      </c>
      <c r="Y55">
        <v>1067</v>
      </c>
      <c r="Z55">
        <v>909</v>
      </c>
      <c r="AA55">
        <v>862</v>
      </c>
      <c r="AB55">
        <v>3463</v>
      </c>
      <c r="AC55">
        <v>2200</v>
      </c>
      <c r="AD55">
        <v>1696</v>
      </c>
      <c r="AE55">
        <v>1272</v>
      </c>
      <c r="AF55">
        <v>2185</v>
      </c>
      <c r="AG55">
        <v>2020</v>
      </c>
    </row>
    <row r="56" spans="1:33" x14ac:dyDescent="0.2">
      <c r="A56">
        <v>54</v>
      </c>
      <c r="B56" s="7">
        <v>805</v>
      </c>
      <c r="C56">
        <v>1053</v>
      </c>
      <c r="D56">
        <v>1770</v>
      </c>
      <c r="E56">
        <v>2606</v>
      </c>
      <c r="F56">
        <v>4708</v>
      </c>
      <c r="G56">
        <v>2309</v>
      </c>
      <c r="H56">
        <v>6752</v>
      </c>
      <c r="I56">
        <v>2788</v>
      </c>
      <c r="J56">
        <v>3818</v>
      </c>
      <c r="K56">
        <v>871</v>
      </c>
      <c r="L56">
        <v>2607</v>
      </c>
      <c r="M56">
        <v>64218</v>
      </c>
      <c r="N56">
        <v>2105</v>
      </c>
      <c r="O56">
        <v>3132</v>
      </c>
      <c r="P56">
        <v>1330</v>
      </c>
      <c r="Q56">
        <v>1145</v>
      </c>
      <c r="R56">
        <v>490</v>
      </c>
      <c r="S56">
        <v>2560</v>
      </c>
      <c r="T56">
        <v>602</v>
      </c>
      <c r="U56">
        <v>1830</v>
      </c>
      <c r="V56">
        <v>1789</v>
      </c>
      <c r="W56">
        <v>2846</v>
      </c>
      <c r="X56">
        <v>818</v>
      </c>
      <c r="Y56">
        <v>1101</v>
      </c>
      <c r="Z56">
        <v>886</v>
      </c>
      <c r="AA56">
        <v>935</v>
      </c>
      <c r="AB56">
        <v>3334</v>
      </c>
      <c r="AC56">
        <v>2253</v>
      </c>
      <c r="AD56">
        <v>1611</v>
      </c>
      <c r="AE56">
        <v>1223</v>
      </c>
      <c r="AF56">
        <v>2165</v>
      </c>
      <c r="AG56">
        <v>1976</v>
      </c>
    </row>
    <row r="57" spans="1:33" x14ac:dyDescent="0.2">
      <c r="A57">
        <v>55</v>
      </c>
      <c r="B57" s="7">
        <v>804</v>
      </c>
      <c r="C57">
        <v>1053</v>
      </c>
      <c r="D57">
        <v>1758</v>
      </c>
      <c r="E57">
        <v>2549</v>
      </c>
      <c r="F57">
        <v>4684</v>
      </c>
      <c r="G57">
        <v>2208</v>
      </c>
      <c r="H57">
        <v>6208</v>
      </c>
      <c r="I57">
        <v>2883</v>
      </c>
      <c r="J57">
        <v>3660</v>
      </c>
      <c r="K57">
        <v>879</v>
      </c>
      <c r="L57">
        <v>2540</v>
      </c>
      <c r="M57">
        <v>62916</v>
      </c>
      <c r="N57">
        <v>2052</v>
      </c>
      <c r="O57">
        <v>3042</v>
      </c>
      <c r="P57">
        <v>1377</v>
      </c>
      <c r="Q57">
        <v>1153</v>
      </c>
      <c r="R57">
        <v>475</v>
      </c>
      <c r="S57">
        <v>2508</v>
      </c>
      <c r="T57">
        <v>590</v>
      </c>
      <c r="U57">
        <v>1687</v>
      </c>
      <c r="V57">
        <v>1841</v>
      </c>
      <c r="W57">
        <v>2690</v>
      </c>
      <c r="X57">
        <v>776</v>
      </c>
      <c r="Y57">
        <v>1013</v>
      </c>
      <c r="Z57">
        <v>965</v>
      </c>
      <c r="AA57">
        <v>912</v>
      </c>
      <c r="AB57">
        <v>3254</v>
      </c>
      <c r="AC57">
        <v>2248</v>
      </c>
      <c r="AD57">
        <v>1686</v>
      </c>
      <c r="AE57">
        <v>1199</v>
      </c>
      <c r="AF57">
        <v>2228</v>
      </c>
      <c r="AG57">
        <v>1994</v>
      </c>
    </row>
    <row r="58" spans="1:33" x14ac:dyDescent="0.2">
      <c r="A58">
        <v>56</v>
      </c>
      <c r="B58" s="7">
        <v>795</v>
      </c>
      <c r="C58">
        <v>1038</v>
      </c>
      <c r="D58">
        <v>1739</v>
      </c>
      <c r="E58">
        <v>2620</v>
      </c>
      <c r="F58">
        <v>4709</v>
      </c>
      <c r="G58">
        <v>2198</v>
      </c>
      <c r="H58">
        <v>6376</v>
      </c>
      <c r="I58">
        <v>2691</v>
      </c>
      <c r="J58">
        <v>3500</v>
      </c>
      <c r="K58">
        <v>883</v>
      </c>
      <c r="L58">
        <v>2448</v>
      </c>
      <c r="M58">
        <v>61963</v>
      </c>
      <c r="N58">
        <v>2138</v>
      </c>
      <c r="O58">
        <v>2987</v>
      </c>
      <c r="P58">
        <v>1353</v>
      </c>
      <c r="Q58">
        <v>1093</v>
      </c>
      <c r="R58">
        <v>457</v>
      </c>
      <c r="S58">
        <v>2445</v>
      </c>
      <c r="T58">
        <v>539</v>
      </c>
      <c r="U58">
        <v>1752</v>
      </c>
      <c r="V58">
        <v>1858</v>
      </c>
      <c r="W58">
        <v>2619</v>
      </c>
      <c r="X58">
        <v>770</v>
      </c>
      <c r="Y58">
        <v>1065</v>
      </c>
      <c r="Z58">
        <v>913</v>
      </c>
      <c r="AA58">
        <v>888</v>
      </c>
      <c r="AB58">
        <v>3031</v>
      </c>
      <c r="AC58">
        <v>2183</v>
      </c>
      <c r="AD58">
        <v>1649</v>
      </c>
      <c r="AE58">
        <v>1130</v>
      </c>
      <c r="AF58">
        <v>2094</v>
      </c>
      <c r="AG58">
        <v>2002</v>
      </c>
    </row>
    <row r="59" spans="1:33" x14ac:dyDescent="0.2">
      <c r="A59">
        <v>57</v>
      </c>
      <c r="B59" s="7">
        <v>740</v>
      </c>
      <c r="C59">
        <v>991</v>
      </c>
      <c r="D59">
        <v>1648</v>
      </c>
      <c r="E59">
        <v>2648</v>
      </c>
      <c r="F59">
        <v>4643</v>
      </c>
      <c r="G59">
        <v>2226</v>
      </c>
      <c r="H59">
        <v>6439</v>
      </c>
      <c r="I59">
        <v>2795</v>
      </c>
      <c r="J59">
        <v>3445</v>
      </c>
      <c r="K59">
        <v>863</v>
      </c>
      <c r="L59">
        <v>2506</v>
      </c>
      <c r="M59">
        <v>62655</v>
      </c>
      <c r="N59">
        <v>2112</v>
      </c>
      <c r="O59">
        <v>2934</v>
      </c>
      <c r="P59">
        <v>1375</v>
      </c>
      <c r="Q59">
        <v>1054</v>
      </c>
      <c r="R59">
        <v>476</v>
      </c>
      <c r="S59">
        <v>2548</v>
      </c>
      <c r="T59">
        <v>570</v>
      </c>
      <c r="U59">
        <v>1676</v>
      </c>
      <c r="V59">
        <v>1894</v>
      </c>
      <c r="W59">
        <v>2716</v>
      </c>
      <c r="X59">
        <v>798</v>
      </c>
      <c r="Y59">
        <v>1060</v>
      </c>
      <c r="Z59">
        <v>887</v>
      </c>
      <c r="AA59">
        <v>868</v>
      </c>
      <c r="AB59">
        <v>3246</v>
      </c>
      <c r="AC59">
        <v>2233</v>
      </c>
      <c r="AD59">
        <v>1664</v>
      </c>
      <c r="AE59">
        <v>1231</v>
      </c>
      <c r="AF59">
        <v>2258</v>
      </c>
      <c r="AG59">
        <v>2111</v>
      </c>
    </row>
    <row r="60" spans="1:33" x14ac:dyDescent="0.2">
      <c r="A60">
        <v>58</v>
      </c>
      <c r="B60" s="7">
        <v>724</v>
      </c>
      <c r="C60">
        <v>964</v>
      </c>
      <c r="D60">
        <v>1689</v>
      </c>
      <c r="E60">
        <v>2686</v>
      </c>
      <c r="F60">
        <v>4406</v>
      </c>
      <c r="G60">
        <v>2133</v>
      </c>
      <c r="H60">
        <v>6309</v>
      </c>
      <c r="I60">
        <v>2756</v>
      </c>
      <c r="J60">
        <v>3305</v>
      </c>
      <c r="K60">
        <v>767</v>
      </c>
      <c r="L60">
        <v>2394</v>
      </c>
      <c r="M60">
        <v>60435</v>
      </c>
      <c r="N60">
        <v>2053</v>
      </c>
      <c r="O60">
        <v>2756</v>
      </c>
      <c r="P60">
        <v>1268</v>
      </c>
      <c r="Q60">
        <v>1070</v>
      </c>
      <c r="R60">
        <v>471</v>
      </c>
      <c r="S60">
        <v>2428</v>
      </c>
      <c r="T60">
        <v>509</v>
      </c>
      <c r="U60">
        <v>1636</v>
      </c>
      <c r="V60">
        <v>1849</v>
      </c>
      <c r="W60">
        <v>2440</v>
      </c>
      <c r="X60">
        <v>773</v>
      </c>
      <c r="Y60">
        <v>1044</v>
      </c>
      <c r="Z60">
        <v>960</v>
      </c>
      <c r="AA60">
        <v>944</v>
      </c>
      <c r="AB60">
        <v>3089</v>
      </c>
      <c r="AC60">
        <v>2195</v>
      </c>
      <c r="AD60">
        <v>1628</v>
      </c>
      <c r="AE60">
        <v>1153</v>
      </c>
      <c r="AF60">
        <v>2138</v>
      </c>
      <c r="AG60">
        <v>1898</v>
      </c>
    </row>
    <row r="61" spans="1:33" x14ac:dyDescent="0.2">
      <c r="A61">
        <v>59</v>
      </c>
      <c r="B61" s="7">
        <v>743</v>
      </c>
      <c r="C61">
        <v>995</v>
      </c>
      <c r="D61">
        <v>1620</v>
      </c>
      <c r="E61">
        <v>2639</v>
      </c>
      <c r="F61">
        <v>4275</v>
      </c>
      <c r="G61">
        <v>1981</v>
      </c>
      <c r="H61">
        <v>6245</v>
      </c>
      <c r="I61">
        <v>2784</v>
      </c>
      <c r="J61">
        <v>3262</v>
      </c>
      <c r="K61">
        <v>775</v>
      </c>
      <c r="L61">
        <v>2308</v>
      </c>
      <c r="M61">
        <v>59196</v>
      </c>
      <c r="N61">
        <v>2054</v>
      </c>
      <c r="O61">
        <v>2581</v>
      </c>
      <c r="P61">
        <v>1310</v>
      </c>
      <c r="Q61">
        <v>967</v>
      </c>
      <c r="R61">
        <v>426</v>
      </c>
      <c r="S61">
        <v>2399</v>
      </c>
      <c r="T61">
        <v>535</v>
      </c>
      <c r="U61">
        <v>1582</v>
      </c>
      <c r="V61">
        <v>1786</v>
      </c>
      <c r="W61">
        <v>2346</v>
      </c>
      <c r="X61">
        <v>774</v>
      </c>
      <c r="Y61">
        <v>956</v>
      </c>
      <c r="Z61">
        <v>897</v>
      </c>
      <c r="AA61">
        <v>905</v>
      </c>
      <c r="AB61">
        <v>3057</v>
      </c>
      <c r="AC61">
        <v>2198</v>
      </c>
      <c r="AD61">
        <v>1655</v>
      </c>
      <c r="AE61">
        <v>1167</v>
      </c>
      <c r="AF61">
        <v>2052</v>
      </c>
      <c r="AG61">
        <v>1922</v>
      </c>
    </row>
    <row r="62" spans="1:33" x14ac:dyDescent="0.2">
      <c r="A62">
        <v>60</v>
      </c>
      <c r="B62" s="7">
        <v>673</v>
      </c>
      <c r="C62">
        <v>946</v>
      </c>
      <c r="D62">
        <v>1540</v>
      </c>
      <c r="E62">
        <v>2604</v>
      </c>
      <c r="F62">
        <v>4086</v>
      </c>
      <c r="G62">
        <v>2055</v>
      </c>
      <c r="H62">
        <v>6026</v>
      </c>
      <c r="I62">
        <v>2658</v>
      </c>
      <c r="J62">
        <v>3093</v>
      </c>
      <c r="K62">
        <v>760</v>
      </c>
      <c r="L62">
        <v>2272</v>
      </c>
      <c r="M62">
        <v>57518</v>
      </c>
      <c r="N62">
        <v>2056</v>
      </c>
      <c r="O62">
        <v>2511</v>
      </c>
      <c r="P62">
        <v>1237</v>
      </c>
      <c r="Q62">
        <v>965</v>
      </c>
      <c r="R62">
        <v>401</v>
      </c>
      <c r="S62">
        <v>2390</v>
      </c>
      <c r="T62">
        <v>528</v>
      </c>
      <c r="U62">
        <v>1499</v>
      </c>
      <c r="V62">
        <v>1772</v>
      </c>
      <c r="W62">
        <v>2232</v>
      </c>
      <c r="X62">
        <v>752</v>
      </c>
      <c r="Y62">
        <v>982</v>
      </c>
      <c r="Z62">
        <v>893</v>
      </c>
      <c r="AA62">
        <v>862</v>
      </c>
      <c r="AB62">
        <v>2982</v>
      </c>
      <c r="AC62">
        <v>2053</v>
      </c>
      <c r="AD62">
        <v>1579</v>
      </c>
      <c r="AE62">
        <v>1087</v>
      </c>
      <c r="AF62">
        <v>2050</v>
      </c>
      <c r="AG62">
        <v>1974</v>
      </c>
    </row>
    <row r="63" spans="1:33" x14ac:dyDescent="0.2">
      <c r="A63">
        <v>61</v>
      </c>
      <c r="B63" s="7">
        <v>684</v>
      </c>
      <c r="C63">
        <v>925</v>
      </c>
      <c r="D63">
        <v>1493</v>
      </c>
      <c r="E63">
        <v>2466</v>
      </c>
      <c r="F63">
        <v>4157</v>
      </c>
      <c r="G63">
        <v>1941</v>
      </c>
      <c r="H63">
        <v>5804</v>
      </c>
      <c r="I63">
        <v>2534</v>
      </c>
      <c r="J63">
        <v>3027</v>
      </c>
      <c r="K63">
        <v>780</v>
      </c>
      <c r="L63">
        <v>2317</v>
      </c>
      <c r="M63">
        <v>56705</v>
      </c>
      <c r="N63">
        <v>1963</v>
      </c>
      <c r="O63">
        <v>2494</v>
      </c>
      <c r="P63">
        <v>1260</v>
      </c>
      <c r="Q63">
        <v>1005</v>
      </c>
      <c r="R63">
        <v>436</v>
      </c>
      <c r="S63">
        <v>2291</v>
      </c>
      <c r="T63">
        <v>524</v>
      </c>
      <c r="U63">
        <v>1542</v>
      </c>
      <c r="V63">
        <v>1735</v>
      </c>
      <c r="W63">
        <v>2213</v>
      </c>
      <c r="X63">
        <v>767</v>
      </c>
      <c r="Y63">
        <v>1025</v>
      </c>
      <c r="Z63">
        <v>910</v>
      </c>
      <c r="AA63">
        <v>910</v>
      </c>
      <c r="AB63">
        <v>2980</v>
      </c>
      <c r="AC63">
        <v>2127</v>
      </c>
      <c r="AD63">
        <v>1487</v>
      </c>
      <c r="AE63">
        <v>1065</v>
      </c>
      <c r="AF63">
        <v>2064</v>
      </c>
      <c r="AG63">
        <v>1779</v>
      </c>
    </row>
    <row r="64" spans="1:33" x14ac:dyDescent="0.2">
      <c r="A64">
        <v>62</v>
      </c>
      <c r="B64" s="7">
        <v>713</v>
      </c>
      <c r="C64">
        <v>918</v>
      </c>
      <c r="D64">
        <v>1492</v>
      </c>
      <c r="E64">
        <v>2364</v>
      </c>
      <c r="F64">
        <v>3964</v>
      </c>
      <c r="G64">
        <v>1977</v>
      </c>
      <c r="H64">
        <v>5647</v>
      </c>
      <c r="I64">
        <v>2470</v>
      </c>
      <c r="J64">
        <v>2939</v>
      </c>
      <c r="K64">
        <v>739</v>
      </c>
      <c r="L64">
        <v>2208</v>
      </c>
      <c r="M64">
        <v>55015</v>
      </c>
      <c r="N64">
        <v>2010</v>
      </c>
      <c r="O64">
        <v>2282</v>
      </c>
      <c r="P64">
        <v>1283</v>
      </c>
      <c r="Q64">
        <v>922</v>
      </c>
      <c r="R64">
        <v>425</v>
      </c>
      <c r="S64">
        <v>2311</v>
      </c>
      <c r="T64">
        <v>499</v>
      </c>
      <c r="U64">
        <v>1413</v>
      </c>
      <c r="V64">
        <v>1825</v>
      </c>
      <c r="W64">
        <v>2090</v>
      </c>
      <c r="X64">
        <v>753</v>
      </c>
      <c r="Y64">
        <v>974</v>
      </c>
      <c r="Z64">
        <v>848</v>
      </c>
      <c r="AA64">
        <v>944</v>
      </c>
      <c r="AB64">
        <v>2869</v>
      </c>
      <c r="AC64">
        <v>1945</v>
      </c>
      <c r="AD64">
        <v>1495</v>
      </c>
      <c r="AE64">
        <v>1051</v>
      </c>
      <c r="AF64">
        <v>1936</v>
      </c>
      <c r="AG64">
        <v>1709</v>
      </c>
    </row>
    <row r="65" spans="1:33" x14ac:dyDescent="0.2">
      <c r="A65">
        <v>63</v>
      </c>
      <c r="B65" s="7">
        <v>642</v>
      </c>
      <c r="C65">
        <v>826</v>
      </c>
      <c r="D65">
        <v>1576</v>
      </c>
      <c r="E65">
        <v>2259</v>
      </c>
      <c r="F65">
        <v>3746</v>
      </c>
      <c r="G65">
        <v>1908</v>
      </c>
      <c r="H65">
        <v>5268</v>
      </c>
      <c r="I65">
        <v>2369</v>
      </c>
      <c r="J65">
        <v>2725</v>
      </c>
      <c r="K65">
        <v>708</v>
      </c>
      <c r="L65">
        <v>2087</v>
      </c>
      <c r="M65">
        <v>52196</v>
      </c>
      <c r="N65">
        <v>1972</v>
      </c>
      <c r="O65">
        <v>2236</v>
      </c>
      <c r="P65">
        <v>1142</v>
      </c>
      <c r="Q65">
        <v>914</v>
      </c>
      <c r="R65">
        <v>439</v>
      </c>
      <c r="S65">
        <v>2195</v>
      </c>
      <c r="T65">
        <v>463</v>
      </c>
      <c r="U65">
        <v>1318</v>
      </c>
      <c r="V65">
        <v>1762</v>
      </c>
      <c r="W65">
        <v>1959</v>
      </c>
      <c r="X65">
        <v>667</v>
      </c>
      <c r="Y65">
        <v>875</v>
      </c>
      <c r="Z65">
        <v>851</v>
      </c>
      <c r="AA65">
        <v>799</v>
      </c>
      <c r="AB65">
        <v>2761</v>
      </c>
      <c r="AC65">
        <v>1869</v>
      </c>
      <c r="AD65">
        <v>1393</v>
      </c>
      <c r="AE65">
        <v>984</v>
      </c>
      <c r="AF65">
        <v>1847</v>
      </c>
      <c r="AG65">
        <v>1636</v>
      </c>
    </row>
    <row r="66" spans="1:33" x14ac:dyDescent="0.2">
      <c r="A66">
        <v>64</v>
      </c>
      <c r="B66" s="7">
        <v>610</v>
      </c>
      <c r="C66">
        <v>842</v>
      </c>
      <c r="D66">
        <v>1431</v>
      </c>
      <c r="E66">
        <v>2216</v>
      </c>
      <c r="F66">
        <v>3690</v>
      </c>
      <c r="G66">
        <v>1819</v>
      </c>
      <c r="H66">
        <v>5080</v>
      </c>
      <c r="I66">
        <v>2304</v>
      </c>
      <c r="J66">
        <v>2551</v>
      </c>
      <c r="K66">
        <v>694</v>
      </c>
      <c r="L66">
        <v>2171</v>
      </c>
      <c r="M66">
        <v>51236</v>
      </c>
      <c r="N66">
        <v>1954</v>
      </c>
      <c r="O66">
        <v>2115</v>
      </c>
      <c r="P66">
        <v>1151</v>
      </c>
      <c r="Q66">
        <v>869</v>
      </c>
      <c r="R66">
        <v>417</v>
      </c>
      <c r="S66">
        <v>2241</v>
      </c>
      <c r="T66">
        <v>446</v>
      </c>
      <c r="U66">
        <v>1308</v>
      </c>
      <c r="V66">
        <v>1808</v>
      </c>
      <c r="W66">
        <v>1870</v>
      </c>
      <c r="X66">
        <v>715</v>
      </c>
      <c r="Y66">
        <v>811</v>
      </c>
      <c r="Z66">
        <v>884</v>
      </c>
      <c r="AA66">
        <v>839</v>
      </c>
      <c r="AB66">
        <v>2722</v>
      </c>
      <c r="AC66">
        <v>1971</v>
      </c>
      <c r="AD66">
        <v>1335</v>
      </c>
      <c r="AE66">
        <v>981</v>
      </c>
      <c r="AF66">
        <v>1789</v>
      </c>
      <c r="AG66">
        <v>1602</v>
      </c>
    </row>
    <row r="67" spans="1:33" x14ac:dyDescent="0.2">
      <c r="A67">
        <v>65</v>
      </c>
      <c r="B67" s="7">
        <v>628</v>
      </c>
      <c r="C67">
        <v>863</v>
      </c>
      <c r="D67">
        <v>1341</v>
      </c>
      <c r="E67">
        <v>2125</v>
      </c>
      <c r="F67">
        <v>3555</v>
      </c>
      <c r="G67">
        <v>1826</v>
      </c>
      <c r="H67">
        <v>5001</v>
      </c>
      <c r="I67">
        <v>2259</v>
      </c>
      <c r="J67">
        <v>2556</v>
      </c>
      <c r="K67">
        <v>686</v>
      </c>
      <c r="L67">
        <v>2094</v>
      </c>
      <c r="M67">
        <v>50083</v>
      </c>
      <c r="N67">
        <v>1901</v>
      </c>
      <c r="O67">
        <v>2113</v>
      </c>
      <c r="P67">
        <v>1054</v>
      </c>
      <c r="Q67">
        <v>877</v>
      </c>
      <c r="R67">
        <v>438</v>
      </c>
      <c r="S67">
        <v>2140</v>
      </c>
      <c r="T67">
        <v>475</v>
      </c>
      <c r="U67">
        <v>1305</v>
      </c>
      <c r="V67">
        <v>1709</v>
      </c>
      <c r="W67">
        <v>1809</v>
      </c>
      <c r="X67">
        <v>688</v>
      </c>
      <c r="Y67">
        <v>870</v>
      </c>
      <c r="Z67">
        <v>827</v>
      </c>
      <c r="AA67">
        <v>843</v>
      </c>
      <c r="AB67">
        <v>2647</v>
      </c>
      <c r="AC67">
        <v>1875</v>
      </c>
      <c r="AD67">
        <v>1331</v>
      </c>
      <c r="AE67">
        <v>990</v>
      </c>
      <c r="AF67">
        <v>1745</v>
      </c>
      <c r="AG67">
        <v>1512</v>
      </c>
    </row>
    <row r="68" spans="1:33" x14ac:dyDescent="0.2">
      <c r="A68">
        <v>66</v>
      </c>
      <c r="B68" s="7">
        <v>569</v>
      </c>
      <c r="C68">
        <v>807</v>
      </c>
      <c r="D68">
        <v>1351</v>
      </c>
      <c r="E68">
        <v>1960</v>
      </c>
      <c r="F68">
        <v>3560</v>
      </c>
      <c r="G68">
        <v>1775</v>
      </c>
      <c r="H68">
        <v>4694</v>
      </c>
      <c r="I68">
        <v>2193</v>
      </c>
      <c r="J68">
        <v>2390</v>
      </c>
      <c r="K68">
        <v>629</v>
      </c>
      <c r="L68">
        <v>2059</v>
      </c>
      <c r="M68">
        <v>48421</v>
      </c>
      <c r="N68">
        <v>1826</v>
      </c>
      <c r="O68">
        <v>2033</v>
      </c>
      <c r="P68">
        <v>1056</v>
      </c>
      <c r="Q68">
        <v>793</v>
      </c>
      <c r="R68">
        <v>411</v>
      </c>
      <c r="S68">
        <v>2142</v>
      </c>
      <c r="T68">
        <v>437</v>
      </c>
      <c r="U68">
        <v>1263</v>
      </c>
      <c r="V68">
        <v>1720</v>
      </c>
      <c r="W68">
        <v>1786</v>
      </c>
      <c r="X68">
        <v>651</v>
      </c>
      <c r="Y68">
        <v>849</v>
      </c>
      <c r="Z68">
        <v>823</v>
      </c>
      <c r="AA68">
        <v>769</v>
      </c>
      <c r="AB68">
        <v>2639</v>
      </c>
      <c r="AC68">
        <v>1834</v>
      </c>
      <c r="AD68">
        <v>1271</v>
      </c>
      <c r="AE68">
        <v>936</v>
      </c>
      <c r="AF68">
        <v>1661</v>
      </c>
      <c r="AG68">
        <v>1534</v>
      </c>
    </row>
    <row r="69" spans="1:33" x14ac:dyDescent="0.2">
      <c r="A69">
        <v>67</v>
      </c>
      <c r="B69" s="7">
        <v>562</v>
      </c>
      <c r="C69">
        <v>793</v>
      </c>
      <c r="D69">
        <v>1361</v>
      </c>
      <c r="E69">
        <v>1928</v>
      </c>
      <c r="F69">
        <v>3466</v>
      </c>
      <c r="G69">
        <v>1816</v>
      </c>
      <c r="H69">
        <v>4593</v>
      </c>
      <c r="I69">
        <v>2132</v>
      </c>
      <c r="J69">
        <v>2312</v>
      </c>
      <c r="K69">
        <v>642</v>
      </c>
      <c r="L69">
        <v>2018</v>
      </c>
      <c r="M69">
        <v>48151</v>
      </c>
      <c r="N69">
        <v>1889</v>
      </c>
      <c r="O69">
        <v>2126</v>
      </c>
      <c r="P69">
        <v>1070</v>
      </c>
      <c r="Q69">
        <v>781</v>
      </c>
      <c r="R69">
        <v>422</v>
      </c>
      <c r="S69">
        <v>2041</v>
      </c>
      <c r="T69">
        <v>442</v>
      </c>
      <c r="U69">
        <v>1236</v>
      </c>
      <c r="V69">
        <v>1708</v>
      </c>
      <c r="W69">
        <v>1828</v>
      </c>
      <c r="X69">
        <v>638</v>
      </c>
      <c r="Y69">
        <v>795</v>
      </c>
      <c r="Z69">
        <v>833</v>
      </c>
      <c r="AA69">
        <v>776</v>
      </c>
      <c r="AB69">
        <v>2631</v>
      </c>
      <c r="AC69">
        <v>1804</v>
      </c>
      <c r="AD69">
        <v>1348</v>
      </c>
      <c r="AE69">
        <v>931</v>
      </c>
      <c r="AF69">
        <v>1741</v>
      </c>
      <c r="AG69">
        <v>1488</v>
      </c>
    </row>
    <row r="70" spans="1:33" x14ac:dyDescent="0.2">
      <c r="A70">
        <v>68</v>
      </c>
      <c r="B70" s="7">
        <v>565</v>
      </c>
      <c r="C70">
        <v>774</v>
      </c>
      <c r="D70">
        <v>1285</v>
      </c>
      <c r="E70">
        <v>1830</v>
      </c>
      <c r="F70">
        <v>3418</v>
      </c>
      <c r="G70">
        <v>1711</v>
      </c>
      <c r="H70">
        <v>4204</v>
      </c>
      <c r="I70">
        <v>2082</v>
      </c>
      <c r="J70">
        <v>2290</v>
      </c>
      <c r="K70">
        <v>653</v>
      </c>
      <c r="L70">
        <v>1851</v>
      </c>
      <c r="M70">
        <v>45520</v>
      </c>
      <c r="N70">
        <v>1721</v>
      </c>
      <c r="O70">
        <v>1861</v>
      </c>
      <c r="P70">
        <v>1045</v>
      </c>
      <c r="Q70">
        <v>749</v>
      </c>
      <c r="R70">
        <v>415</v>
      </c>
      <c r="S70">
        <v>1929</v>
      </c>
      <c r="T70">
        <v>448</v>
      </c>
      <c r="U70">
        <v>1169</v>
      </c>
      <c r="V70">
        <v>1602</v>
      </c>
      <c r="W70">
        <v>1685</v>
      </c>
      <c r="X70">
        <v>631</v>
      </c>
      <c r="Y70">
        <v>736</v>
      </c>
      <c r="Z70">
        <v>794</v>
      </c>
      <c r="AA70">
        <v>767</v>
      </c>
      <c r="AB70">
        <v>2495</v>
      </c>
      <c r="AC70">
        <v>1738</v>
      </c>
      <c r="AD70">
        <v>1203</v>
      </c>
      <c r="AE70">
        <v>859</v>
      </c>
      <c r="AF70">
        <v>1642</v>
      </c>
      <c r="AG70">
        <v>1368</v>
      </c>
    </row>
    <row r="71" spans="1:33" x14ac:dyDescent="0.2">
      <c r="A71">
        <v>69</v>
      </c>
      <c r="B71" s="7">
        <v>587</v>
      </c>
      <c r="C71">
        <v>722</v>
      </c>
      <c r="D71">
        <v>1289</v>
      </c>
      <c r="E71">
        <v>1871</v>
      </c>
      <c r="F71">
        <v>3437</v>
      </c>
      <c r="G71">
        <v>1752</v>
      </c>
      <c r="H71">
        <v>4391</v>
      </c>
      <c r="I71">
        <v>2076</v>
      </c>
      <c r="J71">
        <v>2320</v>
      </c>
      <c r="K71">
        <v>678</v>
      </c>
      <c r="L71">
        <v>1931</v>
      </c>
      <c r="M71">
        <v>45969</v>
      </c>
      <c r="N71">
        <v>1762</v>
      </c>
      <c r="O71">
        <v>1930</v>
      </c>
      <c r="P71">
        <v>1013</v>
      </c>
      <c r="Q71">
        <v>759</v>
      </c>
      <c r="R71">
        <v>403</v>
      </c>
      <c r="S71">
        <v>2050</v>
      </c>
      <c r="T71">
        <v>433</v>
      </c>
      <c r="U71">
        <v>1105</v>
      </c>
      <c r="V71">
        <v>1562</v>
      </c>
      <c r="W71">
        <v>1624</v>
      </c>
      <c r="X71">
        <v>617</v>
      </c>
      <c r="Y71">
        <v>763</v>
      </c>
      <c r="Z71">
        <v>758</v>
      </c>
      <c r="AA71">
        <v>774</v>
      </c>
      <c r="AB71">
        <v>2570</v>
      </c>
      <c r="AC71">
        <v>1723</v>
      </c>
      <c r="AD71">
        <v>1194</v>
      </c>
      <c r="AE71">
        <v>872</v>
      </c>
      <c r="AF71">
        <v>1628</v>
      </c>
      <c r="AG71">
        <v>1375</v>
      </c>
    </row>
    <row r="72" spans="1:33" x14ac:dyDescent="0.2">
      <c r="A72">
        <v>70</v>
      </c>
      <c r="B72" s="7">
        <v>522</v>
      </c>
      <c r="C72">
        <v>678</v>
      </c>
      <c r="D72">
        <v>1230</v>
      </c>
      <c r="E72">
        <v>1791</v>
      </c>
      <c r="F72">
        <v>3167</v>
      </c>
      <c r="G72">
        <v>1640</v>
      </c>
      <c r="H72">
        <v>4105</v>
      </c>
      <c r="I72">
        <v>1979</v>
      </c>
      <c r="J72">
        <v>2171</v>
      </c>
      <c r="K72">
        <v>553</v>
      </c>
      <c r="L72">
        <v>1763</v>
      </c>
      <c r="M72">
        <v>43150</v>
      </c>
      <c r="N72">
        <v>1692</v>
      </c>
      <c r="O72">
        <v>1711</v>
      </c>
      <c r="P72">
        <v>962</v>
      </c>
      <c r="Q72">
        <v>740</v>
      </c>
      <c r="R72">
        <v>370</v>
      </c>
      <c r="S72">
        <v>1924</v>
      </c>
      <c r="T72">
        <v>433</v>
      </c>
      <c r="U72">
        <v>1089</v>
      </c>
      <c r="V72">
        <v>1498</v>
      </c>
      <c r="W72">
        <v>1492</v>
      </c>
      <c r="X72">
        <v>594</v>
      </c>
      <c r="Y72">
        <v>735</v>
      </c>
      <c r="Z72">
        <v>756</v>
      </c>
      <c r="AA72">
        <v>690</v>
      </c>
      <c r="AB72">
        <v>2475</v>
      </c>
      <c r="AC72">
        <v>1637</v>
      </c>
      <c r="AD72">
        <v>1150</v>
      </c>
      <c r="AE72">
        <v>765</v>
      </c>
      <c r="AF72">
        <v>1528</v>
      </c>
      <c r="AG72">
        <v>1310</v>
      </c>
    </row>
    <row r="73" spans="1:33" x14ac:dyDescent="0.2">
      <c r="A73">
        <v>71</v>
      </c>
      <c r="B73" s="7">
        <v>497</v>
      </c>
      <c r="C73">
        <v>680</v>
      </c>
      <c r="D73">
        <v>1191</v>
      </c>
      <c r="E73">
        <v>1722</v>
      </c>
      <c r="F73">
        <v>3086</v>
      </c>
      <c r="G73">
        <v>1626</v>
      </c>
      <c r="H73">
        <v>3905</v>
      </c>
      <c r="I73">
        <v>1877</v>
      </c>
      <c r="J73">
        <v>1961</v>
      </c>
      <c r="K73">
        <v>550</v>
      </c>
      <c r="L73">
        <v>1762</v>
      </c>
      <c r="M73">
        <v>41685</v>
      </c>
      <c r="N73">
        <v>1652</v>
      </c>
      <c r="O73">
        <v>1682</v>
      </c>
      <c r="P73">
        <v>836</v>
      </c>
      <c r="Q73">
        <v>658</v>
      </c>
      <c r="R73">
        <v>373</v>
      </c>
      <c r="S73">
        <v>1849</v>
      </c>
      <c r="T73">
        <v>390</v>
      </c>
      <c r="U73">
        <v>1030</v>
      </c>
      <c r="V73">
        <v>1582</v>
      </c>
      <c r="W73">
        <v>1559</v>
      </c>
      <c r="X73">
        <v>556</v>
      </c>
      <c r="Y73">
        <v>710</v>
      </c>
      <c r="Z73">
        <v>676</v>
      </c>
      <c r="AA73">
        <v>735</v>
      </c>
      <c r="AB73">
        <v>2419</v>
      </c>
      <c r="AC73">
        <v>1531</v>
      </c>
      <c r="AD73">
        <v>1100</v>
      </c>
      <c r="AE73">
        <v>735</v>
      </c>
      <c r="AF73">
        <v>1484</v>
      </c>
      <c r="AG73">
        <v>1271</v>
      </c>
    </row>
    <row r="74" spans="1:33" x14ac:dyDescent="0.2">
      <c r="A74">
        <v>72</v>
      </c>
      <c r="B74" s="7">
        <v>526</v>
      </c>
      <c r="C74">
        <v>689</v>
      </c>
      <c r="D74">
        <v>1241</v>
      </c>
      <c r="E74">
        <v>1718</v>
      </c>
      <c r="F74">
        <v>2931</v>
      </c>
      <c r="G74">
        <v>1518</v>
      </c>
      <c r="H74">
        <v>3853</v>
      </c>
      <c r="I74">
        <v>1879</v>
      </c>
      <c r="J74">
        <v>2066</v>
      </c>
      <c r="K74">
        <v>521</v>
      </c>
      <c r="L74">
        <v>1673</v>
      </c>
      <c r="M74">
        <v>41124</v>
      </c>
      <c r="N74">
        <v>1569</v>
      </c>
      <c r="O74">
        <v>1666</v>
      </c>
      <c r="P74">
        <v>920</v>
      </c>
      <c r="Q74">
        <v>611</v>
      </c>
      <c r="R74">
        <v>366</v>
      </c>
      <c r="S74">
        <v>1810</v>
      </c>
      <c r="T74">
        <v>419</v>
      </c>
      <c r="U74">
        <v>1050</v>
      </c>
      <c r="V74">
        <v>1507</v>
      </c>
      <c r="W74">
        <v>1478</v>
      </c>
      <c r="X74">
        <v>585</v>
      </c>
      <c r="Y74">
        <v>697</v>
      </c>
      <c r="Z74">
        <v>669</v>
      </c>
      <c r="AA74">
        <v>686</v>
      </c>
      <c r="AB74">
        <v>2358</v>
      </c>
      <c r="AC74">
        <v>1530</v>
      </c>
      <c r="AD74">
        <v>1076</v>
      </c>
      <c r="AE74">
        <v>741</v>
      </c>
      <c r="AF74">
        <v>1498</v>
      </c>
      <c r="AG74">
        <v>1273</v>
      </c>
    </row>
    <row r="75" spans="1:33" x14ac:dyDescent="0.2">
      <c r="A75">
        <v>73</v>
      </c>
      <c r="B75" s="7">
        <v>461</v>
      </c>
      <c r="C75">
        <v>629</v>
      </c>
      <c r="D75">
        <v>1113</v>
      </c>
      <c r="E75">
        <v>1601</v>
      </c>
      <c r="F75">
        <v>2923</v>
      </c>
      <c r="G75">
        <v>1522</v>
      </c>
      <c r="H75">
        <v>3788</v>
      </c>
      <c r="I75">
        <v>1796</v>
      </c>
      <c r="J75">
        <v>1941</v>
      </c>
      <c r="K75">
        <v>547</v>
      </c>
      <c r="L75">
        <v>1639</v>
      </c>
      <c r="M75">
        <v>39255</v>
      </c>
      <c r="N75">
        <v>1529</v>
      </c>
      <c r="O75">
        <v>1584</v>
      </c>
      <c r="P75">
        <v>831</v>
      </c>
      <c r="Q75">
        <v>558</v>
      </c>
      <c r="R75">
        <v>295</v>
      </c>
      <c r="S75">
        <v>1722</v>
      </c>
      <c r="T75">
        <v>375</v>
      </c>
      <c r="U75">
        <v>980</v>
      </c>
      <c r="V75">
        <v>1365</v>
      </c>
      <c r="W75">
        <v>1460</v>
      </c>
      <c r="X75">
        <v>536</v>
      </c>
      <c r="Y75">
        <v>660</v>
      </c>
      <c r="Z75">
        <v>617</v>
      </c>
      <c r="AA75">
        <v>667</v>
      </c>
      <c r="AB75">
        <v>2139</v>
      </c>
      <c r="AC75">
        <v>1479</v>
      </c>
      <c r="AD75">
        <v>1068</v>
      </c>
      <c r="AE75">
        <v>743</v>
      </c>
      <c r="AF75">
        <v>1403</v>
      </c>
      <c r="AG75">
        <v>1284</v>
      </c>
    </row>
    <row r="76" spans="1:33" x14ac:dyDescent="0.2">
      <c r="A76">
        <v>74</v>
      </c>
      <c r="B76" s="7">
        <v>475</v>
      </c>
      <c r="C76">
        <v>596</v>
      </c>
      <c r="D76">
        <v>1076</v>
      </c>
      <c r="E76">
        <v>1572</v>
      </c>
      <c r="F76">
        <v>2770</v>
      </c>
      <c r="G76">
        <v>1465</v>
      </c>
      <c r="H76">
        <v>3632</v>
      </c>
      <c r="I76">
        <v>1814</v>
      </c>
      <c r="J76">
        <v>1821</v>
      </c>
      <c r="K76">
        <v>502</v>
      </c>
      <c r="L76">
        <v>1570</v>
      </c>
      <c r="M76">
        <v>37670</v>
      </c>
      <c r="N76">
        <v>1481</v>
      </c>
      <c r="O76">
        <v>1494</v>
      </c>
      <c r="P76">
        <v>860</v>
      </c>
      <c r="Q76">
        <v>567</v>
      </c>
      <c r="R76">
        <v>313</v>
      </c>
      <c r="S76">
        <v>1658</v>
      </c>
      <c r="T76">
        <v>371</v>
      </c>
      <c r="U76">
        <v>1006</v>
      </c>
      <c r="V76">
        <v>1349</v>
      </c>
      <c r="W76">
        <v>1329</v>
      </c>
      <c r="X76">
        <v>498</v>
      </c>
      <c r="Y76">
        <v>637</v>
      </c>
      <c r="Z76">
        <v>625</v>
      </c>
      <c r="AA76">
        <v>642</v>
      </c>
      <c r="AB76">
        <v>1973</v>
      </c>
      <c r="AC76">
        <v>1459</v>
      </c>
      <c r="AD76">
        <v>1000</v>
      </c>
      <c r="AE76">
        <v>686</v>
      </c>
      <c r="AF76">
        <v>1303</v>
      </c>
      <c r="AG76">
        <v>1126</v>
      </c>
    </row>
    <row r="77" spans="1:33" x14ac:dyDescent="0.2">
      <c r="A77">
        <v>75</v>
      </c>
      <c r="B77" s="7">
        <v>404</v>
      </c>
      <c r="C77">
        <v>582</v>
      </c>
      <c r="D77">
        <v>1058</v>
      </c>
      <c r="E77">
        <v>1518</v>
      </c>
      <c r="F77">
        <v>2620</v>
      </c>
      <c r="G77">
        <v>1407</v>
      </c>
      <c r="H77">
        <v>3409</v>
      </c>
      <c r="I77">
        <v>1836</v>
      </c>
      <c r="J77">
        <v>1732</v>
      </c>
      <c r="K77">
        <v>479</v>
      </c>
      <c r="L77">
        <v>1443</v>
      </c>
      <c r="M77">
        <v>35767</v>
      </c>
      <c r="N77">
        <v>1418</v>
      </c>
      <c r="O77">
        <v>1456</v>
      </c>
      <c r="P77">
        <v>769</v>
      </c>
      <c r="Q77">
        <v>579</v>
      </c>
      <c r="R77">
        <v>287</v>
      </c>
      <c r="S77">
        <v>1548</v>
      </c>
      <c r="T77">
        <v>344</v>
      </c>
      <c r="U77">
        <v>916</v>
      </c>
      <c r="V77">
        <v>1271</v>
      </c>
      <c r="W77">
        <v>1250</v>
      </c>
      <c r="X77">
        <v>492</v>
      </c>
      <c r="Y77">
        <v>606</v>
      </c>
      <c r="Z77">
        <v>573</v>
      </c>
      <c r="AA77">
        <v>583</v>
      </c>
      <c r="AB77">
        <v>1803</v>
      </c>
      <c r="AC77">
        <v>1297</v>
      </c>
      <c r="AD77">
        <v>1059</v>
      </c>
      <c r="AE77">
        <v>634</v>
      </c>
      <c r="AF77">
        <v>1280</v>
      </c>
      <c r="AG77">
        <v>1114</v>
      </c>
    </row>
    <row r="78" spans="1:33" x14ac:dyDescent="0.2">
      <c r="A78">
        <v>76</v>
      </c>
      <c r="B78" s="7">
        <v>412</v>
      </c>
      <c r="C78">
        <v>514</v>
      </c>
      <c r="D78">
        <v>976</v>
      </c>
      <c r="E78">
        <v>1483</v>
      </c>
      <c r="F78">
        <v>2446</v>
      </c>
      <c r="G78">
        <v>1344</v>
      </c>
      <c r="H78">
        <v>3195</v>
      </c>
      <c r="I78">
        <v>1703</v>
      </c>
      <c r="J78">
        <v>1660</v>
      </c>
      <c r="K78">
        <v>504</v>
      </c>
      <c r="L78">
        <v>1341</v>
      </c>
      <c r="M78">
        <v>33759</v>
      </c>
      <c r="N78">
        <v>1351</v>
      </c>
      <c r="O78">
        <v>1245</v>
      </c>
      <c r="P78">
        <v>725</v>
      </c>
      <c r="Q78">
        <v>539</v>
      </c>
      <c r="R78">
        <v>279</v>
      </c>
      <c r="S78">
        <v>1462</v>
      </c>
      <c r="T78">
        <v>359</v>
      </c>
      <c r="U78">
        <v>921</v>
      </c>
      <c r="V78">
        <v>1150</v>
      </c>
      <c r="W78">
        <v>1174</v>
      </c>
      <c r="X78">
        <v>464</v>
      </c>
      <c r="Y78">
        <v>562</v>
      </c>
      <c r="Z78">
        <v>592</v>
      </c>
      <c r="AA78">
        <v>562</v>
      </c>
      <c r="AB78">
        <v>1736</v>
      </c>
      <c r="AC78">
        <v>1301</v>
      </c>
      <c r="AD78">
        <v>938</v>
      </c>
      <c r="AE78">
        <v>586</v>
      </c>
      <c r="AF78">
        <v>1188</v>
      </c>
      <c r="AG78">
        <v>1047</v>
      </c>
    </row>
    <row r="79" spans="1:33" x14ac:dyDescent="0.2">
      <c r="A79">
        <v>77</v>
      </c>
      <c r="B79" s="7">
        <v>372</v>
      </c>
      <c r="C79">
        <v>482</v>
      </c>
      <c r="D79">
        <v>894</v>
      </c>
      <c r="E79">
        <v>1358</v>
      </c>
      <c r="F79">
        <v>2290</v>
      </c>
      <c r="G79">
        <v>1179</v>
      </c>
      <c r="H79">
        <v>2943</v>
      </c>
      <c r="I79">
        <v>1604</v>
      </c>
      <c r="J79">
        <v>1475</v>
      </c>
      <c r="K79">
        <v>425</v>
      </c>
      <c r="L79">
        <v>1198</v>
      </c>
      <c r="M79">
        <v>30572</v>
      </c>
      <c r="N79">
        <v>1189</v>
      </c>
      <c r="O79">
        <v>1181</v>
      </c>
      <c r="P79">
        <v>697</v>
      </c>
      <c r="Q79">
        <v>452</v>
      </c>
      <c r="R79">
        <v>260</v>
      </c>
      <c r="S79">
        <v>1324</v>
      </c>
      <c r="T79">
        <v>296</v>
      </c>
      <c r="U79">
        <v>775</v>
      </c>
      <c r="V79">
        <v>1044</v>
      </c>
      <c r="W79">
        <v>1067</v>
      </c>
      <c r="X79">
        <v>377</v>
      </c>
      <c r="Y79">
        <v>496</v>
      </c>
      <c r="Z79">
        <v>466</v>
      </c>
      <c r="AA79">
        <v>511</v>
      </c>
      <c r="AB79">
        <v>1509</v>
      </c>
      <c r="AC79">
        <v>1211</v>
      </c>
      <c r="AD79">
        <v>835</v>
      </c>
      <c r="AE79">
        <v>598</v>
      </c>
      <c r="AF79">
        <v>1090</v>
      </c>
      <c r="AG79">
        <v>974</v>
      </c>
    </row>
    <row r="80" spans="1:33" x14ac:dyDescent="0.2">
      <c r="A80">
        <v>78</v>
      </c>
      <c r="B80" s="7">
        <v>312</v>
      </c>
      <c r="C80">
        <v>433</v>
      </c>
      <c r="D80">
        <v>793</v>
      </c>
      <c r="E80">
        <v>1197</v>
      </c>
      <c r="F80">
        <v>1965</v>
      </c>
      <c r="G80">
        <v>1115</v>
      </c>
      <c r="H80">
        <v>2846</v>
      </c>
      <c r="I80">
        <v>1551</v>
      </c>
      <c r="J80">
        <v>1292</v>
      </c>
      <c r="K80">
        <v>387</v>
      </c>
      <c r="L80">
        <v>1125</v>
      </c>
      <c r="M80">
        <v>28058</v>
      </c>
      <c r="N80">
        <v>1077</v>
      </c>
      <c r="O80">
        <v>1040</v>
      </c>
      <c r="P80">
        <v>610</v>
      </c>
      <c r="Q80">
        <v>443</v>
      </c>
      <c r="R80">
        <v>232</v>
      </c>
      <c r="S80">
        <v>1217</v>
      </c>
      <c r="T80">
        <v>261</v>
      </c>
      <c r="U80">
        <v>797</v>
      </c>
      <c r="V80">
        <v>952</v>
      </c>
      <c r="W80">
        <v>992</v>
      </c>
      <c r="X80">
        <v>361</v>
      </c>
      <c r="Y80">
        <v>439</v>
      </c>
      <c r="Z80">
        <v>461</v>
      </c>
      <c r="AA80">
        <v>452</v>
      </c>
      <c r="AB80">
        <v>1393</v>
      </c>
      <c r="AC80">
        <v>1043</v>
      </c>
      <c r="AD80">
        <v>761</v>
      </c>
      <c r="AE80">
        <v>519</v>
      </c>
      <c r="AF80">
        <v>1056</v>
      </c>
      <c r="AG80">
        <v>936</v>
      </c>
    </row>
    <row r="81" spans="1:33" x14ac:dyDescent="0.2">
      <c r="A81">
        <v>79</v>
      </c>
      <c r="B81" s="7">
        <v>339</v>
      </c>
      <c r="C81">
        <v>388</v>
      </c>
      <c r="D81">
        <v>693</v>
      </c>
      <c r="E81">
        <v>1142</v>
      </c>
      <c r="F81">
        <v>1833</v>
      </c>
      <c r="G81">
        <v>991</v>
      </c>
      <c r="H81">
        <v>2774</v>
      </c>
      <c r="I81">
        <v>1448</v>
      </c>
      <c r="J81">
        <v>1258</v>
      </c>
      <c r="K81">
        <v>363</v>
      </c>
      <c r="L81">
        <v>1026</v>
      </c>
      <c r="M81">
        <v>26104</v>
      </c>
      <c r="N81">
        <v>1017</v>
      </c>
      <c r="O81">
        <v>981</v>
      </c>
      <c r="P81">
        <v>597</v>
      </c>
      <c r="Q81">
        <v>390</v>
      </c>
      <c r="R81">
        <v>212</v>
      </c>
      <c r="S81">
        <v>1209</v>
      </c>
      <c r="T81">
        <v>235</v>
      </c>
      <c r="U81">
        <v>665</v>
      </c>
      <c r="V81">
        <v>884</v>
      </c>
      <c r="W81">
        <v>865</v>
      </c>
      <c r="X81">
        <v>357</v>
      </c>
      <c r="Y81">
        <v>442</v>
      </c>
      <c r="Z81">
        <v>422</v>
      </c>
      <c r="AA81">
        <v>457</v>
      </c>
      <c r="AB81">
        <v>1205</v>
      </c>
      <c r="AC81">
        <v>1010</v>
      </c>
      <c r="AD81">
        <v>699</v>
      </c>
      <c r="AE81">
        <v>478</v>
      </c>
      <c r="AF81">
        <v>912</v>
      </c>
      <c r="AG81">
        <v>812</v>
      </c>
    </row>
    <row r="82" spans="1:33" x14ac:dyDescent="0.2">
      <c r="A82">
        <v>80</v>
      </c>
      <c r="B82" s="7">
        <v>279</v>
      </c>
      <c r="C82">
        <v>332</v>
      </c>
      <c r="D82">
        <v>594</v>
      </c>
      <c r="E82">
        <v>1103</v>
      </c>
      <c r="F82">
        <v>1669</v>
      </c>
      <c r="G82">
        <v>902</v>
      </c>
      <c r="H82">
        <v>2408</v>
      </c>
      <c r="I82">
        <v>1410</v>
      </c>
      <c r="J82">
        <v>1011</v>
      </c>
      <c r="K82">
        <v>376</v>
      </c>
      <c r="L82">
        <v>998</v>
      </c>
      <c r="M82">
        <v>22847</v>
      </c>
      <c r="N82">
        <v>818</v>
      </c>
      <c r="O82">
        <v>778</v>
      </c>
      <c r="P82">
        <v>514</v>
      </c>
      <c r="Q82">
        <v>341</v>
      </c>
      <c r="R82">
        <v>159</v>
      </c>
      <c r="S82">
        <v>1001</v>
      </c>
      <c r="T82">
        <v>207</v>
      </c>
      <c r="U82">
        <v>572</v>
      </c>
      <c r="V82">
        <v>799</v>
      </c>
      <c r="W82">
        <v>802</v>
      </c>
      <c r="X82">
        <v>255</v>
      </c>
      <c r="Y82">
        <v>360</v>
      </c>
      <c r="Z82">
        <v>362</v>
      </c>
      <c r="AA82">
        <v>379</v>
      </c>
      <c r="AB82">
        <v>1022</v>
      </c>
      <c r="AC82">
        <v>804</v>
      </c>
      <c r="AD82">
        <v>656</v>
      </c>
      <c r="AE82">
        <v>397</v>
      </c>
      <c r="AF82">
        <v>833</v>
      </c>
      <c r="AG82">
        <v>706</v>
      </c>
    </row>
    <row r="83" spans="1:33" x14ac:dyDescent="0.2">
      <c r="A83">
        <v>81</v>
      </c>
      <c r="B83" s="7">
        <v>265</v>
      </c>
      <c r="C83">
        <v>319</v>
      </c>
      <c r="D83">
        <v>583</v>
      </c>
      <c r="E83">
        <v>943</v>
      </c>
      <c r="F83">
        <v>1407</v>
      </c>
      <c r="G83">
        <v>840</v>
      </c>
      <c r="H83">
        <v>2254</v>
      </c>
      <c r="I83">
        <v>1240</v>
      </c>
      <c r="J83">
        <v>919</v>
      </c>
      <c r="K83">
        <v>250</v>
      </c>
      <c r="L83">
        <v>865</v>
      </c>
      <c r="M83">
        <v>20661</v>
      </c>
      <c r="N83">
        <v>783</v>
      </c>
      <c r="O83">
        <v>673</v>
      </c>
      <c r="P83">
        <v>463</v>
      </c>
      <c r="Q83">
        <v>304</v>
      </c>
      <c r="R83">
        <v>150</v>
      </c>
      <c r="S83">
        <v>888</v>
      </c>
      <c r="T83">
        <v>179</v>
      </c>
      <c r="U83">
        <v>589</v>
      </c>
      <c r="V83">
        <v>740</v>
      </c>
      <c r="W83">
        <v>674</v>
      </c>
      <c r="X83">
        <v>251</v>
      </c>
      <c r="Y83">
        <v>309</v>
      </c>
      <c r="Z83">
        <v>335</v>
      </c>
      <c r="AA83">
        <v>340</v>
      </c>
      <c r="AB83">
        <v>992</v>
      </c>
      <c r="AC83">
        <v>775</v>
      </c>
      <c r="AD83">
        <v>585</v>
      </c>
      <c r="AE83">
        <v>380</v>
      </c>
      <c r="AF83">
        <v>763</v>
      </c>
      <c r="AG83">
        <v>603</v>
      </c>
    </row>
    <row r="84" spans="1:33" x14ac:dyDescent="0.2">
      <c r="A84">
        <v>82</v>
      </c>
      <c r="B84" s="7">
        <v>240</v>
      </c>
      <c r="C84">
        <v>273</v>
      </c>
      <c r="D84">
        <v>526</v>
      </c>
      <c r="E84">
        <v>963</v>
      </c>
      <c r="F84">
        <v>1379</v>
      </c>
      <c r="G84">
        <v>744</v>
      </c>
      <c r="H84">
        <v>2287</v>
      </c>
      <c r="I84">
        <v>1229</v>
      </c>
      <c r="J84">
        <v>848</v>
      </c>
      <c r="K84">
        <v>279</v>
      </c>
      <c r="L84">
        <v>804</v>
      </c>
      <c r="M84">
        <v>19538</v>
      </c>
      <c r="N84">
        <v>758</v>
      </c>
      <c r="O84">
        <v>636</v>
      </c>
      <c r="P84">
        <v>399</v>
      </c>
      <c r="Q84">
        <v>269</v>
      </c>
      <c r="R84">
        <v>169</v>
      </c>
      <c r="S84">
        <v>846</v>
      </c>
      <c r="T84">
        <v>164</v>
      </c>
      <c r="U84">
        <v>512</v>
      </c>
      <c r="V84">
        <v>641</v>
      </c>
      <c r="W84">
        <v>617</v>
      </c>
      <c r="X84">
        <v>267</v>
      </c>
      <c r="Y84">
        <v>319</v>
      </c>
      <c r="Z84">
        <v>322</v>
      </c>
      <c r="AA84">
        <v>298</v>
      </c>
      <c r="AB84">
        <v>901</v>
      </c>
      <c r="AC84">
        <v>749</v>
      </c>
      <c r="AD84">
        <v>502</v>
      </c>
      <c r="AE84">
        <v>328</v>
      </c>
      <c r="AF84">
        <v>670</v>
      </c>
      <c r="AG84">
        <v>599</v>
      </c>
    </row>
    <row r="85" spans="1:33" x14ac:dyDescent="0.2">
      <c r="A85">
        <v>83</v>
      </c>
      <c r="B85" s="7">
        <v>203</v>
      </c>
      <c r="C85">
        <v>280</v>
      </c>
      <c r="D85">
        <v>476</v>
      </c>
      <c r="E85">
        <v>844</v>
      </c>
      <c r="F85">
        <v>1179</v>
      </c>
      <c r="G85">
        <v>707</v>
      </c>
      <c r="H85">
        <v>2088</v>
      </c>
      <c r="I85">
        <v>1141</v>
      </c>
      <c r="J85">
        <v>707</v>
      </c>
      <c r="K85">
        <v>277</v>
      </c>
      <c r="L85">
        <v>770</v>
      </c>
      <c r="M85">
        <v>17885</v>
      </c>
      <c r="N85">
        <v>615</v>
      </c>
      <c r="O85">
        <v>562</v>
      </c>
      <c r="P85">
        <v>387</v>
      </c>
      <c r="Q85">
        <v>251</v>
      </c>
      <c r="R85">
        <v>163</v>
      </c>
      <c r="S85">
        <v>771</v>
      </c>
      <c r="T85">
        <v>143</v>
      </c>
      <c r="U85">
        <v>461</v>
      </c>
      <c r="V85">
        <v>621</v>
      </c>
      <c r="W85">
        <v>567</v>
      </c>
      <c r="X85">
        <v>239</v>
      </c>
      <c r="Y85">
        <v>313</v>
      </c>
      <c r="Z85">
        <v>317</v>
      </c>
      <c r="AA85">
        <v>298</v>
      </c>
      <c r="AB85">
        <v>798</v>
      </c>
      <c r="AC85">
        <v>678</v>
      </c>
      <c r="AD85">
        <v>501</v>
      </c>
      <c r="AE85">
        <v>346</v>
      </c>
      <c r="AF85">
        <v>651</v>
      </c>
      <c r="AG85">
        <v>531</v>
      </c>
    </row>
    <row r="86" spans="1:33" x14ac:dyDescent="0.2">
      <c r="A86">
        <v>84</v>
      </c>
      <c r="B86" s="7">
        <v>198</v>
      </c>
      <c r="C86">
        <v>252</v>
      </c>
      <c r="D86">
        <v>394</v>
      </c>
      <c r="E86">
        <v>750</v>
      </c>
      <c r="F86">
        <v>1059</v>
      </c>
      <c r="G86">
        <v>623</v>
      </c>
      <c r="H86">
        <v>1916</v>
      </c>
      <c r="I86">
        <v>992</v>
      </c>
      <c r="J86">
        <v>642</v>
      </c>
      <c r="K86">
        <v>236</v>
      </c>
      <c r="L86">
        <v>603</v>
      </c>
      <c r="M86">
        <v>15655</v>
      </c>
      <c r="N86">
        <v>607</v>
      </c>
      <c r="O86">
        <v>464</v>
      </c>
      <c r="P86">
        <v>347</v>
      </c>
      <c r="Q86">
        <v>205</v>
      </c>
      <c r="R86">
        <v>144</v>
      </c>
      <c r="S86">
        <v>687</v>
      </c>
      <c r="T86">
        <v>140</v>
      </c>
      <c r="U86">
        <v>416</v>
      </c>
      <c r="V86">
        <v>543</v>
      </c>
      <c r="W86">
        <v>460</v>
      </c>
      <c r="X86">
        <v>207</v>
      </c>
      <c r="Y86">
        <v>251</v>
      </c>
      <c r="Z86">
        <v>249</v>
      </c>
      <c r="AA86">
        <v>237</v>
      </c>
      <c r="AB86">
        <v>711</v>
      </c>
      <c r="AC86">
        <v>611</v>
      </c>
      <c r="AD86">
        <v>429</v>
      </c>
      <c r="AE86">
        <v>275</v>
      </c>
      <c r="AF86">
        <v>553</v>
      </c>
      <c r="AG86">
        <v>454</v>
      </c>
    </row>
    <row r="87" spans="1:33" x14ac:dyDescent="0.2">
      <c r="A87">
        <v>85</v>
      </c>
      <c r="B87" s="7">
        <v>141</v>
      </c>
      <c r="C87">
        <v>245</v>
      </c>
      <c r="D87">
        <v>376</v>
      </c>
      <c r="E87">
        <v>653</v>
      </c>
      <c r="F87">
        <v>1050</v>
      </c>
      <c r="G87">
        <v>551</v>
      </c>
      <c r="H87">
        <v>1786</v>
      </c>
      <c r="I87">
        <v>937</v>
      </c>
      <c r="J87">
        <v>546</v>
      </c>
      <c r="K87">
        <v>211</v>
      </c>
      <c r="L87">
        <v>569</v>
      </c>
      <c r="M87">
        <v>14457</v>
      </c>
      <c r="N87">
        <v>499</v>
      </c>
      <c r="O87">
        <v>475</v>
      </c>
      <c r="P87">
        <v>309</v>
      </c>
      <c r="Q87">
        <v>198</v>
      </c>
      <c r="R87">
        <v>108</v>
      </c>
      <c r="S87">
        <v>597</v>
      </c>
      <c r="T87">
        <v>143</v>
      </c>
      <c r="U87">
        <v>352</v>
      </c>
      <c r="V87">
        <v>523</v>
      </c>
      <c r="W87">
        <v>438</v>
      </c>
      <c r="X87">
        <v>175</v>
      </c>
      <c r="Y87">
        <v>295</v>
      </c>
      <c r="Z87">
        <v>235</v>
      </c>
      <c r="AA87">
        <v>260</v>
      </c>
      <c r="AB87">
        <v>644</v>
      </c>
      <c r="AC87">
        <v>551</v>
      </c>
      <c r="AD87">
        <v>396</v>
      </c>
      <c r="AE87">
        <v>274</v>
      </c>
      <c r="AF87">
        <v>503</v>
      </c>
      <c r="AG87">
        <v>417</v>
      </c>
    </row>
    <row r="88" spans="1:33" x14ac:dyDescent="0.2">
      <c r="A88">
        <v>86</v>
      </c>
      <c r="B88" s="7">
        <v>159</v>
      </c>
      <c r="C88">
        <v>226</v>
      </c>
      <c r="D88">
        <v>355</v>
      </c>
      <c r="E88">
        <v>614</v>
      </c>
      <c r="F88">
        <v>923</v>
      </c>
      <c r="G88">
        <v>434</v>
      </c>
      <c r="H88">
        <v>1562</v>
      </c>
      <c r="I88">
        <v>817</v>
      </c>
      <c r="J88">
        <v>500</v>
      </c>
      <c r="K88">
        <v>181</v>
      </c>
      <c r="L88">
        <v>552</v>
      </c>
      <c r="M88">
        <v>12871</v>
      </c>
      <c r="N88">
        <v>439</v>
      </c>
      <c r="O88">
        <v>371</v>
      </c>
      <c r="P88">
        <v>307</v>
      </c>
      <c r="Q88">
        <v>176</v>
      </c>
      <c r="R88">
        <v>92</v>
      </c>
      <c r="S88">
        <v>556</v>
      </c>
      <c r="T88">
        <v>140</v>
      </c>
      <c r="U88">
        <v>317</v>
      </c>
      <c r="V88">
        <v>451</v>
      </c>
      <c r="W88">
        <v>402</v>
      </c>
      <c r="X88">
        <v>171</v>
      </c>
      <c r="Y88">
        <v>225</v>
      </c>
      <c r="Z88">
        <v>235</v>
      </c>
      <c r="AA88">
        <v>222</v>
      </c>
      <c r="AB88">
        <v>530</v>
      </c>
      <c r="AC88">
        <v>503</v>
      </c>
      <c r="AD88">
        <v>354</v>
      </c>
      <c r="AE88">
        <v>242</v>
      </c>
      <c r="AF88">
        <v>443</v>
      </c>
      <c r="AG88">
        <v>372</v>
      </c>
    </row>
    <row r="89" spans="1:33" x14ac:dyDescent="0.2">
      <c r="A89">
        <v>87</v>
      </c>
      <c r="B89" s="7">
        <v>119</v>
      </c>
      <c r="C89">
        <v>182</v>
      </c>
      <c r="D89">
        <v>283</v>
      </c>
      <c r="E89">
        <v>528</v>
      </c>
      <c r="F89">
        <v>804</v>
      </c>
      <c r="G89">
        <v>433</v>
      </c>
      <c r="H89">
        <v>1417</v>
      </c>
      <c r="I89">
        <v>736</v>
      </c>
      <c r="J89">
        <v>434</v>
      </c>
      <c r="K89">
        <v>143</v>
      </c>
      <c r="L89">
        <v>439</v>
      </c>
      <c r="M89">
        <v>11281</v>
      </c>
      <c r="N89">
        <v>424</v>
      </c>
      <c r="O89">
        <v>341</v>
      </c>
      <c r="P89">
        <v>278</v>
      </c>
      <c r="Q89">
        <v>158</v>
      </c>
      <c r="R89">
        <v>105</v>
      </c>
      <c r="S89">
        <v>451</v>
      </c>
      <c r="T89">
        <v>102</v>
      </c>
      <c r="U89">
        <v>266</v>
      </c>
      <c r="V89">
        <v>393</v>
      </c>
      <c r="W89">
        <v>379</v>
      </c>
      <c r="X89">
        <v>156</v>
      </c>
      <c r="Y89">
        <v>173</v>
      </c>
      <c r="Z89">
        <v>226</v>
      </c>
      <c r="AA89">
        <v>194</v>
      </c>
      <c r="AB89">
        <v>474</v>
      </c>
      <c r="AC89">
        <v>430</v>
      </c>
      <c r="AD89">
        <v>328</v>
      </c>
      <c r="AE89">
        <v>228</v>
      </c>
      <c r="AF89">
        <v>366</v>
      </c>
      <c r="AG89">
        <v>291</v>
      </c>
    </row>
    <row r="90" spans="1:33" x14ac:dyDescent="0.2">
      <c r="A90">
        <v>88</v>
      </c>
      <c r="B90" s="7">
        <v>105</v>
      </c>
      <c r="C90">
        <v>188</v>
      </c>
      <c r="D90">
        <v>258</v>
      </c>
      <c r="E90">
        <v>454</v>
      </c>
      <c r="F90">
        <v>690</v>
      </c>
      <c r="G90">
        <v>339</v>
      </c>
      <c r="H90">
        <v>1330</v>
      </c>
      <c r="I90">
        <v>668</v>
      </c>
      <c r="J90">
        <v>324</v>
      </c>
      <c r="K90">
        <v>141</v>
      </c>
      <c r="L90">
        <v>433</v>
      </c>
      <c r="M90">
        <v>9698</v>
      </c>
      <c r="N90">
        <v>322</v>
      </c>
      <c r="O90">
        <v>265</v>
      </c>
      <c r="P90">
        <v>203</v>
      </c>
      <c r="Q90">
        <v>137</v>
      </c>
      <c r="R90">
        <v>80</v>
      </c>
      <c r="S90">
        <v>357</v>
      </c>
      <c r="T90">
        <v>91</v>
      </c>
      <c r="U90">
        <v>244</v>
      </c>
      <c r="V90">
        <v>393</v>
      </c>
      <c r="W90">
        <v>282</v>
      </c>
      <c r="X90">
        <v>131</v>
      </c>
      <c r="Y90">
        <v>178</v>
      </c>
      <c r="Z90">
        <v>177</v>
      </c>
      <c r="AA90">
        <v>168</v>
      </c>
      <c r="AB90">
        <v>379</v>
      </c>
      <c r="AC90">
        <v>364</v>
      </c>
      <c r="AD90">
        <v>266</v>
      </c>
      <c r="AE90">
        <v>167</v>
      </c>
      <c r="AF90">
        <v>323</v>
      </c>
      <c r="AG90">
        <v>241</v>
      </c>
    </row>
    <row r="91" spans="1:33" x14ac:dyDescent="0.2">
      <c r="A91">
        <v>89</v>
      </c>
      <c r="B91" s="7">
        <v>86</v>
      </c>
      <c r="C91">
        <v>134</v>
      </c>
      <c r="D91">
        <v>207</v>
      </c>
      <c r="E91">
        <v>365</v>
      </c>
      <c r="F91">
        <v>549</v>
      </c>
      <c r="G91">
        <v>310</v>
      </c>
      <c r="H91">
        <v>1066</v>
      </c>
      <c r="I91">
        <v>525</v>
      </c>
      <c r="J91">
        <v>333</v>
      </c>
      <c r="K91">
        <v>96</v>
      </c>
      <c r="L91">
        <v>360</v>
      </c>
      <c r="M91">
        <v>7997</v>
      </c>
      <c r="N91">
        <v>269</v>
      </c>
      <c r="O91">
        <v>242</v>
      </c>
      <c r="P91">
        <v>188</v>
      </c>
      <c r="Q91">
        <v>96</v>
      </c>
      <c r="R91">
        <v>56</v>
      </c>
      <c r="S91">
        <v>317</v>
      </c>
      <c r="T91">
        <v>73</v>
      </c>
      <c r="U91">
        <v>183</v>
      </c>
      <c r="V91">
        <v>269</v>
      </c>
      <c r="W91">
        <v>224</v>
      </c>
      <c r="X91">
        <v>129</v>
      </c>
      <c r="Y91">
        <v>120</v>
      </c>
      <c r="Z91">
        <v>149</v>
      </c>
      <c r="AA91">
        <v>140</v>
      </c>
      <c r="AB91">
        <v>319</v>
      </c>
      <c r="AC91">
        <v>332</v>
      </c>
      <c r="AD91">
        <v>226</v>
      </c>
      <c r="AE91">
        <v>131</v>
      </c>
      <c r="AF91">
        <v>257</v>
      </c>
      <c r="AG91">
        <v>246</v>
      </c>
    </row>
    <row r="92" spans="1:33" x14ac:dyDescent="0.2">
      <c r="A92">
        <v>90</v>
      </c>
      <c r="B92" s="7">
        <v>65</v>
      </c>
      <c r="C92">
        <v>96</v>
      </c>
      <c r="D92">
        <v>174</v>
      </c>
      <c r="E92">
        <v>335</v>
      </c>
      <c r="F92">
        <v>475</v>
      </c>
      <c r="G92">
        <v>248</v>
      </c>
      <c r="H92">
        <v>885</v>
      </c>
      <c r="I92">
        <v>493</v>
      </c>
      <c r="J92">
        <v>256</v>
      </c>
      <c r="K92">
        <v>88</v>
      </c>
      <c r="L92">
        <v>289</v>
      </c>
      <c r="M92">
        <v>6729</v>
      </c>
      <c r="N92">
        <v>228</v>
      </c>
      <c r="O92">
        <v>196</v>
      </c>
      <c r="P92">
        <v>131</v>
      </c>
      <c r="Q92">
        <v>70</v>
      </c>
      <c r="R92">
        <v>61</v>
      </c>
      <c r="S92">
        <v>248</v>
      </c>
      <c r="T92">
        <v>56</v>
      </c>
      <c r="U92">
        <v>149</v>
      </c>
      <c r="V92">
        <v>256</v>
      </c>
      <c r="W92">
        <v>203</v>
      </c>
      <c r="X92">
        <v>88</v>
      </c>
      <c r="Y92">
        <v>107</v>
      </c>
      <c r="Z92">
        <v>137</v>
      </c>
      <c r="AA92">
        <v>105</v>
      </c>
      <c r="AB92">
        <v>289</v>
      </c>
      <c r="AC92">
        <v>280</v>
      </c>
      <c r="AD92">
        <v>204</v>
      </c>
      <c r="AE92">
        <v>123</v>
      </c>
      <c r="AF92">
        <v>217</v>
      </c>
      <c r="AG92">
        <v>177</v>
      </c>
    </row>
    <row r="93" spans="1:33" x14ac:dyDescent="0.2">
      <c r="A93">
        <v>91</v>
      </c>
      <c r="B93" s="7">
        <v>72</v>
      </c>
      <c r="C93">
        <v>98</v>
      </c>
      <c r="D93">
        <v>138</v>
      </c>
      <c r="E93">
        <v>272</v>
      </c>
      <c r="F93">
        <v>430</v>
      </c>
      <c r="G93">
        <v>207</v>
      </c>
      <c r="H93">
        <v>778</v>
      </c>
      <c r="I93">
        <v>379</v>
      </c>
      <c r="J93">
        <v>211</v>
      </c>
      <c r="K93">
        <v>102</v>
      </c>
      <c r="L93">
        <v>254</v>
      </c>
      <c r="M93">
        <v>5731</v>
      </c>
      <c r="N93">
        <v>209</v>
      </c>
      <c r="O93">
        <v>153</v>
      </c>
      <c r="P93">
        <v>138</v>
      </c>
      <c r="Q93">
        <v>89</v>
      </c>
      <c r="R93">
        <v>57</v>
      </c>
      <c r="S93">
        <v>221</v>
      </c>
      <c r="T93">
        <v>43</v>
      </c>
      <c r="U93">
        <v>132</v>
      </c>
      <c r="V93">
        <v>218</v>
      </c>
      <c r="W93">
        <v>144</v>
      </c>
      <c r="X93">
        <v>66</v>
      </c>
      <c r="Y93">
        <v>77</v>
      </c>
      <c r="Z93">
        <v>96</v>
      </c>
      <c r="AA93">
        <v>86</v>
      </c>
      <c r="AB93">
        <v>210</v>
      </c>
      <c r="AC93">
        <v>230</v>
      </c>
      <c r="AD93">
        <v>171</v>
      </c>
      <c r="AE93">
        <v>109</v>
      </c>
      <c r="AF93">
        <v>177</v>
      </c>
      <c r="AG93">
        <v>164</v>
      </c>
    </row>
    <row r="94" spans="1:33" x14ac:dyDescent="0.2">
      <c r="A94">
        <v>92</v>
      </c>
      <c r="B94" s="7">
        <v>38</v>
      </c>
      <c r="C94">
        <v>67</v>
      </c>
      <c r="D94">
        <v>99</v>
      </c>
      <c r="E94">
        <v>177</v>
      </c>
      <c r="F94">
        <v>304</v>
      </c>
      <c r="G94">
        <v>148</v>
      </c>
      <c r="H94">
        <v>624</v>
      </c>
      <c r="I94">
        <v>287</v>
      </c>
      <c r="J94">
        <v>148</v>
      </c>
      <c r="K94">
        <v>64</v>
      </c>
      <c r="L94">
        <v>190</v>
      </c>
      <c r="M94">
        <v>4106</v>
      </c>
      <c r="N94">
        <v>128</v>
      </c>
      <c r="O94">
        <v>111</v>
      </c>
      <c r="P94">
        <v>83</v>
      </c>
      <c r="Q94">
        <v>65</v>
      </c>
      <c r="R94">
        <v>42</v>
      </c>
      <c r="S94">
        <v>150</v>
      </c>
      <c r="T94">
        <v>26</v>
      </c>
      <c r="U94">
        <v>100</v>
      </c>
      <c r="V94">
        <v>129</v>
      </c>
      <c r="W94">
        <v>125</v>
      </c>
      <c r="X94">
        <v>66</v>
      </c>
      <c r="Y94">
        <v>57</v>
      </c>
      <c r="Z94">
        <v>76</v>
      </c>
      <c r="AA94">
        <v>54</v>
      </c>
      <c r="AB94">
        <v>146</v>
      </c>
      <c r="AC94">
        <v>170</v>
      </c>
      <c r="AD94">
        <v>120</v>
      </c>
      <c r="AE94">
        <v>73</v>
      </c>
      <c r="AF94">
        <v>125</v>
      </c>
      <c r="AG94">
        <v>114</v>
      </c>
    </row>
    <row r="95" spans="1:33" x14ac:dyDescent="0.2">
      <c r="A95">
        <v>93</v>
      </c>
      <c r="B95" s="7">
        <v>26</v>
      </c>
      <c r="C95">
        <v>50</v>
      </c>
      <c r="D95">
        <v>78</v>
      </c>
      <c r="E95">
        <v>149</v>
      </c>
      <c r="F95">
        <v>236</v>
      </c>
      <c r="G95">
        <v>130</v>
      </c>
      <c r="H95">
        <v>447</v>
      </c>
      <c r="I95">
        <v>230</v>
      </c>
      <c r="J95">
        <v>118</v>
      </c>
      <c r="K95">
        <v>53</v>
      </c>
      <c r="L95">
        <v>129</v>
      </c>
      <c r="M95">
        <v>3257</v>
      </c>
      <c r="N95">
        <v>127</v>
      </c>
      <c r="O95">
        <v>114</v>
      </c>
      <c r="P95">
        <v>66</v>
      </c>
      <c r="Q95">
        <v>38</v>
      </c>
      <c r="R95">
        <v>32</v>
      </c>
      <c r="S95">
        <v>130</v>
      </c>
      <c r="T95">
        <v>36</v>
      </c>
      <c r="U95">
        <v>88</v>
      </c>
      <c r="V95">
        <v>122</v>
      </c>
      <c r="W95">
        <v>88</v>
      </c>
      <c r="X95">
        <v>45</v>
      </c>
      <c r="Y95">
        <v>48</v>
      </c>
      <c r="Z95">
        <v>71</v>
      </c>
      <c r="AA95">
        <v>51</v>
      </c>
      <c r="AB95">
        <v>115</v>
      </c>
      <c r="AC95">
        <v>118</v>
      </c>
      <c r="AD95">
        <v>70</v>
      </c>
      <c r="AE95">
        <v>60</v>
      </c>
      <c r="AF95">
        <v>110</v>
      </c>
      <c r="AG95">
        <v>82</v>
      </c>
    </row>
    <row r="96" spans="1:33" x14ac:dyDescent="0.2">
      <c r="A96">
        <v>94</v>
      </c>
      <c r="B96" s="7">
        <v>24</v>
      </c>
      <c r="C96">
        <v>32</v>
      </c>
      <c r="D96">
        <v>54</v>
      </c>
      <c r="E96">
        <v>79</v>
      </c>
      <c r="F96">
        <v>153</v>
      </c>
      <c r="G96">
        <v>88</v>
      </c>
      <c r="H96">
        <v>362</v>
      </c>
      <c r="I96">
        <v>189</v>
      </c>
      <c r="J96">
        <v>86</v>
      </c>
      <c r="K96">
        <v>26</v>
      </c>
      <c r="L96">
        <v>120</v>
      </c>
      <c r="M96">
        <v>2455</v>
      </c>
      <c r="N96">
        <v>78</v>
      </c>
      <c r="O96">
        <v>64</v>
      </c>
      <c r="P96">
        <v>63</v>
      </c>
      <c r="Q96">
        <v>29</v>
      </c>
      <c r="R96">
        <v>22</v>
      </c>
      <c r="S96">
        <v>98</v>
      </c>
      <c r="T96">
        <v>26</v>
      </c>
      <c r="U96">
        <v>50</v>
      </c>
      <c r="V96">
        <v>108</v>
      </c>
      <c r="W96">
        <v>72</v>
      </c>
      <c r="X96">
        <v>35</v>
      </c>
      <c r="Y96">
        <v>50</v>
      </c>
      <c r="Z96">
        <v>55</v>
      </c>
      <c r="AA96">
        <v>57</v>
      </c>
      <c r="AB96">
        <v>100</v>
      </c>
      <c r="AC96">
        <v>91</v>
      </c>
      <c r="AD96">
        <v>57</v>
      </c>
      <c r="AE96">
        <v>47</v>
      </c>
      <c r="AF96">
        <v>64</v>
      </c>
      <c r="AG96">
        <v>76</v>
      </c>
    </row>
    <row r="97" spans="1:33" x14ac:dyDescent="0.2">
      <c r="A97">
        <v>95</v>
      </c>
      <c r="B97" s="7">
        <v>14</v>
      </c>
      <c r="C97">
        <v>29</v>
      </c>
      <c r="D97">
        <v>51</v>
      </c>
      <c r="E97">
        <v>61</v>
      </c>
      <c r="F97">
        <v>140</v>
      </c>
      <c r="G97">
        <v>91</v>
      </c>
      <c r="H97">
        <v>265</v>
      </c>
      <c r="I97">
        <v>132</v>
      </c>
      <c r="J97">
        <v>53</v>
      </c>
      <c r="K97">
        <v>24</v>
      </c>
      <c r="L97">
        <v>98</v>
      </c>
      <c r="M97">
        <v>1826</v>
      </c>
      <c r="N97">
        <v>66</v>
      </c>
      <c r="O97">
        <v>54</v>
      </c>
      <c r="P97">
        <v>36</v>
      </c>
      <c r="Q97">
        <v>13</v>
      </c>
      <c r="R97">
        <v>21</v>
      </c>
      <c r="S97">
        <v>68</v>
      </c>
      <c r="T97">
        <v>11</v>
      </c>
      <c r="U97">
        <v>50</v>
      </c>
      <c r="V97">
        <v>61</v>
      </c>
      <c r="W97">
        <v>63</v>
      </c>
      <c r="X97">
        <v>21</v>
      </c>
      <c r="Y97">
        <v>27</v>
      </c>
      <c r="Z97">
        <v>38</v>
      </c>
      <c r="AA97">
        <v>23</v>
      </c>
      <c r="AB97">
        <v>63</v>
      </c>
      <c r="AC97">
        <v>70</v>
      </c>
      <c r="AD97">
        <v>33</v>
      </c>
      <c r="AE97">
        <v>40</v>
      </c>
      <c r="AF97">
        <v>51</v>
      </c>
      <c r="AG97">
        <v>59</v>
      </c>
    </row>
    <row r="98" spans="1:33" x14ac:dyDescent="0.2">
      <c r="A98">
        <v>96</v>
      </c>
      <c r="B98" s="7">
        <v>11</v>
      </c>
      <c r="C98">
        <v>23</v>
      </c>
      <c r="D98">
        <v>40</v>
      </c>
      <c r="E98">
        <v>54</v>
      </c>
      <c r="F98">
        <v>84</v>
      </c>
      <c r="G98">
        <v>48</v>
      </c>
      <c r="H98">
        <v>200</v>
      </c>
      <c r="I98">
        <v>95</v>
      </c>
      <c r="J98">
        <v>48</v>
      </c>
      <c r="K98">
        <v>19</v>
      </c>
      <c r="L98">
        <v>54</v>
      </c>
      <c r="M98">
        <v>1283</v>
      </c>
      <c r="N98">
        <v>33</v>
      </c>
      <c r="O98">
        <v>37</v>
      </c>
      <c r="P98">
        <v>32</v>
      </c>
      <c r="Q98">
        <v>15</v>
      </c>
      <c r="R98">
        <v>6</v>
      </c>
      <c r="S98">
        <v>50</v>
      </c>
      <c r="T98">
        <v>13</v>
      </c>
      <c r="U98">
        <v>30</v>
      </c>
      <c r="V98">
        <v>52</v>
      </c>
      <c r="W98">
        <v>42</v>
      </c>
      <c r="X98">
        <v>17</v>
      </c>
      <c r="Y98">
        <v>19</v>
      </c>
      <c r="Z98">
        <v>28</v>
      </c>
      <c r="AA98">
        <v>21</v>
      </c>
      <c r="AB98">
        <v>41</v>
      </c>
      <c r="AC98">
        <v>41</v>
      </c>
      <c r="AD98">
        <v>26</v>
      </c>
      <c r="AE98">
        <v>24</v>
      </c>
      <c r="AF98">
        <v>42</v>
      </c>
      <c r="AG98">
        <v>38</v>
      </c>
    </row>
    <row r="99" spans="1:33" x14ac:dyDescent="0.2">
      <c r="A99">
        <v>97</v>
      </c>
      <c r="B99" s="7">
        <v>11</v>
      </c>
      <c r="C99">
        <v>13</v>
      </c>
      <c r="D99">
        <v>31</v>
      </c>
      <c r="E99">
        <v>39</v>
      </c>
      <c r="F99">
        <v>65</v>
      </c>
      <c r="G99">
        <v>27</v>
      </c>
      <c r="H99">
        <v>115</v>
      </c>
      <c r="I99">
        <v>57</v>
      </c>
      <c r="J99">
        <v>51</v>
      </c>
      <c r="K99">
        <v>12</v>
      </c>
      <c r="L99">
        <v>44</v>
      </c>
      <c r="M99">
        <v>949</v>
      </c>
      <c r="N99">
        <v>45</v>
      </c>
      <c r="O99">
        <v>28</v>
      </c>
      <c r="P99">
        <v>24</v>
      </c>
      <c r="Q99">
        <v>10</v>
      </c>
      <c r="R99">
        <v>17</v>
      </c>
      <c r="S99">
        <v>33</v>
      </c>
      <c r="T99">
        <v>8</v>
      </c>
      <c r="U99">
        <v>25</v>
      </c>
      <c r="V99">
        <v>34</v>
      </c>
      <c r="W99">
        <v>24</v>
      </c>
      <c r="X99">
        <v>9</v>
      </c>
      <c r="Y99">
        <v>16</v>
      </c>
      <c r="Z99">
        <v>13</v>
      </c>
      <c r="AA99">
        <v>22</v>
      </c>
      <c r="AB99">
        <v>38</v>
      </c>
      <c r="AC99">
        <v>33</v>
      </c>
      <c r="AD99">
        <v>20</v>
      </c>
      <c r="AE99">
        <v>23</v>
      </c>
      <c r="AF99">
        <v>37</v>
      </c>
      <c r="AG99">
        <v>25</v>
      </c>
    </row>
    <row r="100" spans="1:33" x14ac:dyDescent="0.2">
      <c r="A100">
        <v>98</v>
      </c>
      <c r="B100" s="7">
        <v>7</v>
      </c>
      <c r="C100">
        <v>8</v>
      </c>
      <c r="D100">
        <v>15</v>
      </c>
      <c r="E100">
        <v>23</v>
      </c>
      <c r="F100">
        <v>47</v>
      </c>
      <c r="G100">
        <v>15</v>
      </c>
      <c r="H100">
        <v>81</v>
      </c>
      <c r="I100">
        <v>45</v>
      </c>
      <c r="J100">
        <v>21</v>
      </c>
      <c r="K100">
        <v>15</v>
      </c>
      <c r="L100">
        <v>34</v>
      </c>
      <c r="M100">
        <v>622</v>
      </c>
      <c r="N100">
        <v>19</v>
      </c>
      <c r="O100">
        <v>15</v>
      </c>
      <c r="P100">
        <v>16</v>
      </c>
      <c r="Q100">
        <v>5</v>
      </c>
      <c r="R100">
        <v>6</v>
      </c>
      <c r="S100">
        <v>36</v>
      </c>
      <c r="T100">
        <v>6</v>
      </c>
      <c r="U100">
        <v>20</v>
      </c>
      <c r="V100">
        <v>27</v>
      </c>
      <c r="W100">
        <v>19</v>
      </c>
      <c r="X100">
        <v>11</v>
      </c>
      <c r="Y100">
        <v>8</v>
      </c>
      <c r="Z100">
        <v>7</v>
      </c>
      <c r="AA100">
        <v>12</v>
      </c>
      <c r="AB100">
        <v>17</v>
      </c>
      <c r="AC100">
        <v>21</v>
      </c>
      <c r="AD100">
        <v>17</v>
      </c>
      <c r="AE100">
        <v>11</v>
      </c>
      <c r="AF100">
        <v>22</v>
      </c>
      <c r="AG100">
        <v>16</v>
      </c>
    </row>
    <row r="101" spans="1:33" x14ac:dyDescent="0.2">
      <c r="A101">
        <v>99</v>
      </c>
      <c r="B101" s="7">
        <v>7</v>
      </c>
      <c r="C101">
        <v>6</v>
      </c>
      <c r="D101">
        <v>14</v>
      </c>
      <c r="E101">
        <v>24</v>
      </c>
      <c r="F101">
        <v>25</v>
      </c>
      <c r="G101">
        <v>18</v>
      </c>
      <c r="H101">
        <v>64</v>
      </c>
      <c r="I101">
        <v>32</v>
      </c>
      <c r="J101">
        <v>22</v>
      </c>
      <c r="K101">
        <v>4</v>
      </c>
      <c r="L101">
        <v>22</v>
      </c>
      <c r="M101">
        <v>441</v>
      </c>
      <c r="N101">
        <v>12</v>
      </c>
      <c r="O101">
        <v>13</v>
      </c>
      <c r="P101">
        <v>9</v>
      </c>
      <c r="Q101">
        <v>3</v>
      </c>
      <c r="R101">
        <v>3</v>
      </c>
      <c r="S101">
        <v>17</v>
      </c>
      <c r="T101">
        <v>1</v>
      </c>
      <c r="U101">
        <v>7</v>
      </c>
      <c r="V101">
        <v>14</v>
      </c>
      <c r="W101">
        <v>15</v>
      </c>
      <c r="X101">
        <v>5</v>
      </c>
      <c r="Y101">
        <v>4</v>
      </c>
      <c r="Z101">
        <v>9</v>
      </c>
      <c r="AA101">
        <v>10</v>
      </c>
      <c r="AB101">
        <v>17</v>
      </c>
      <c r="AC101">
        <v>10</v>
      </c>
      <c r="AD101">
        <v>19</v>
      </c>
      <c r="AE101">
        <v>6</v>
      </c>
      <c r="AF101">
        <v>21</v>
      </c>
      <c r="AG101">
        <v>8</v>
      </c>
    </row>
    <row r="102" spans="1:33" x14ac:dyDescent="0.2">
      <c r="A102">
        <v>100</v>
      </c>
      <c r="B102" s="7">
        <v>3</v>
      </c>
      <c r="C102">
        <v>18</v>
      </c>
      <c r="D102">
        <v>19</v>
      </c>
      <c r="E102">
        <v>26</v>
      </c>
      <c r="F102">
        <v>54</v>
      </c>
      <c r="G102">
        <v>33</v>
      </c>
      <c r="H102">
        <v>100</v>
      </c>
      <c r="I102">
        <v>55</v>
      </c>
      <c r="J102">
        <v>21</v>
      </c>
      <c r="K102">
        <v>8</v>
      </c>
      <c r="L102">
        <v>42</v>
      </c>
      <c r="M102">
        <v>738</v>
      </c>
      <c r="N102">
        <v>14</v>
      </c>
      <c r="O102">
        <v>25</v>
      </c>
      <c r="P102">
        <v>18</v>
      </c>
      <c r="Q102">
        <v>10</v>
      </c>
      <c r="R102">
        <v>4</v>
      </c>
      <c r="S102">
        <v>41</v>
      </c>
      <c r="T102">
        <v>6</v>
      </c>
      <c r="U102">
        <v>28</v>
      </c>
      <c r="V102">
        <v>31</v>
      </c>
      <c r="W102">
        <v>21</v>
      </c>
      <c r="X102">
        <v>8</v>
      </c>
      <c r="Y102">
        <v>5</v>
      </c>
      <c r="Z102">
        <v>12</v>
      </c>
      <c r="AA102">
        <v>12</v>
      </c>
      <c r="AB102">
        <v>36</v>
      </c>
      <c r="AC102">
        <v>23</v>
      </c>
      <c r="AD102">
        <v>19</v>
      </c>
      <c r="AE102">
        <v>12</v>
      </c>
      <c r="AF102">
        <v>16</v>
      </c>
      <c r="AG102">
        <v>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38B723-A3F3-9A4C-B48E-DA5B83027095}">
  <dimension ref="C6:M109"/>
  <sheetViews>
    <sheetView topLeftCell="A66" workbookViewId="0">
      <selection activeCell="F125" sqref="F125"/>
    </sheetView>
  </sheetViews>
  <sheetFormatPr baseColWidth="10" defaultRowHeight="16" x14ac:dyDescent="0.2"/>
  <cols>
    <col min="3" max="3" width="26.1640625" bestFit="1" customWidth="1"/>
    <col min="4" max="4" width="6.1640625" bestFit="1" customWidth="1"/>
    <col min="6" max="6" width="18.1640625" customWidth="1"/>
    <col min="11" max="11" width="21.1640625" customWidth="1"/>
  </cols>
  <sheetData>
    <row r="6" spans="3:8" x14ac:dyDescent="0.2">
      <c r="C6" s="1" t="s">
        <v>33</v>
      </c>
    </row>
    <row r="7" spans="3:8" x14ac:dyDescent="0.2">
      <c r="C7" s="1" t="s">
        <v>0</v>
      </c>
      <c r="D7" t="s">
        <v>34</v>
      </c>
    </row>
    <row r="8" spans="3:8" x14ac:dyDescent="0.2">
      <c r="C8" s="4">
        <v>0</v>
      </c>
      <c r="D8" s="4">
        <v>699</v>
      </c>
      <c r="F8">
        <v>0</v>
      </c>
      <c r="G8">
        <v>699</v>
      </c>
      <c r="H8">
        <f>F8*G8</f>
        <v>0</v>
      </c>
    </row>
    <row r="9" spans="3:8" x14ac:dyDescent="0.2">
      <c r="C9" s="4">
        <v>1</v>
      </c>
      <c r="D9" s="4">
        <v>649</v>
      </c>
      <c r="F9">
        <v>1</v>
      </c>
      <c r="G9">
        <v>649</v>
      </c>
      <c r="H9">
        <f t="shared" ref="H9:H72" si="0">F9*G9</f>
        <v>649</v>
      </c>
    </row>
    <row r="10" spans="3:8" x14ac:dyDescent="0.2">
      <c r="C10" s="4">
        <v>2</v>
      </c>
      <c r="D10" s="4">
        <v>689</v>
      </c>
      <c r="F10">
        <v>2</v>
      </c>
      <c r="G10">
        <v>689</v>
      </c>
      <c r="H10">
        <f t="shared" si="0"/>
        <v>1378</v>
      </c>
    </row>
    <row r="11" spans="3:8" x14ac:dyDescent="0.2">
      <c r="C11" s="4">
        <v>3</v>
      </c>
      <c r="D11" s="4">
        <v>754</v>
      </c>
      <c r="F11">
        <v>3</v>
      </c>
      <c r="G11">
        <v>754</v>
      </c>
      <c r="H11">
        <f t="shared" si="0"/>
        <v>2262</v>
      </c>
    </row>
    <row r="12" spans="3:8" x14ac:dyDescent="0.2">
      <c r="C12" s="4">
        <v>4</v>
      </c>
      <c r="D12" s="4">
        <v>745</v>
      </c>
      <c r="F12">
        <v>4</v>
      </c>
      <c r="G12">
        <v>745</v>
      </c>
      <c r="H12">
        <f t="shared" si="0"/>
        <v>2980</v>
      </c>
    </row>
    <row r="13" spans="3:8" x14ac:dyDescent="0.2">
      <c r="C13" s="4">
        <v>5</v>
      </c>
      <c r="D13" s="4">
        <v>749</v>
      </c>
      <c r="F13">
        <v>5</v>
      </c>
      <c r="G13">
        <v>749</v>
      </c>
      <c r="H13">
        <f t="shared" si="0"/>
        <v>3745</v>
      </c>
    </row>
    <row r="14" spans="3:8" x14ac:dyDescent="0.2">
      <c r="C14" s="4">
        <v>6</v>
      </c>
      <c r="D14" s="4">
        <v>750</v>
      </c>
      <c r="F14">
        <v>6</v>
      </c>
      <c r="G14">
        <v>750</v>
      </c>
      <c r="H14">
        <f t="shared" si="0"/>
        <v>4500</v>
      </c>
    </row>
    <row r="15" spans="3:8" x14ac:dyDescent="0.2">
      <c r="C15" s="4">
        <v>7</v>
      </c>
      <c r="D15" s="4">
        <v>889</v>
      </c>
      <c r="F15">
        <v>7</v>
      </c>
      <c r="G15">
        <v>889</v>
      </c>
      <c r="H15">
        <f t="shared" si="0"/>
        <v>6223</v>
      </c>
    </row>
    <row r="16" spans="3:8" x14ac:dyDescent="0.2">
      <c r="C16" s="4">
        <v>8</v>
      </c>
      <c r="D16" s="4">
        <v>819</v>
      </c>
      <c r="F16">
        <v>8</v>
      </c>
      <c r="G16">
        <v>819</v>
      </c>
      <c r="H16">
        <f t="shared" si="0"/>
        <v>6552</v>
      </c>
    </row>
    <row r="17" spans="3:8" x14ac:dyDescent="0.2">
      <c r="C17" s="4">
        <v>9</v>
      </c>
      <c r="D17" s="4">
        <v>882</v>
      </c>
      <c r="F17">
        <v>9</v>
      </c>
      <c r="G17">
        <v>882</v>
      </c>
      <c r="H17">
        <f t="shared" si="0"/>
        <v>7938</v>
      </c>
    </row>
    <row r="18" spans="3:8" x14ac:dyDescent="0.2">
      <c r="C18" s="4">
        <v>10</v>
      </c>
      <c r="D18" s="4">
        <v>921</v>
      </c>
      <c r="F18">
        <v>10</v>
      </c>
      <c r="G18">
        <v>921</v>
      </c>
      <c r="H18">
        <f t="shared" si="0"/>
        <v>9210</v>
      </c>
    </row>
    <row r="19" spans="3:8" x14ac:dyDescent="0.2">
      <c r="C19" s="4">
        <v>11</v>
      </c>
      <c r="D19" s="4">
        <v>964</v>
      </c>
      <c r="F19">
        <v>11</v>
      </c>
      <c r="G19">
        <v>964</v>
      </c>
      <c r="H19">
        <f t="shared" si="0"/>
        <v>10604</v>
      </c>
    </row>
    <row r="20" spans="3:8" x14ac:dyDescent="0.2">
      <c r="C20" s="4">
        <v>12</v>
      </c>
      <c r="D20" s="4">
        <v>908</v>
      </c>
      <c r="F20">
        <v>12</v>
      </c>
      <c r="G20">
        <v>908</v>
      </c>
      <c r="H20">
        <f t="shared" si="0"/>
        <v>10896</v>
      </c>
    </row>
    <row r="21" spans="3:8" x14ac:dyDescent="0.2">
      <c r="C21" s="4">
        <v>13</v>
      </c>
      <c r="D21" s="4">
        <v>943</v>
      </c>
      <c r="F21">
        <v>13</v>
      </c>
      <c r="G21">
        <v>943</v>
      </c>
      <c r="H21">
        <f t="shared" si="0"/>
        <v>12259</v>
      </c>
    </row>
    <row r="22" spans="3:8" x14ac:dyDescent="0.2">
      <c r="C22" s="4">
        <v>14</v>
      </c>
      <c r="D22" s="4">
        <v>951</v>
      </c>
      <c r="F22">
        <v>14</v>
      </c>
      <c r="G22">
        <v>951</v>
      </c>
      <c r="H22">
        <f t="shared" si="0"/>
        <v>13314</v>
      </c>
    </row>
    <row r="23" spans="3:8" x14ac:dyDescent="0.2">
      <c r="C23" s="4">
        <v>15</v>
      </c>
      <c r="D23" s="4">
        <v>843</v>
      </c>
      <c r="F23">
        <v>15</v>
      </c>
      <c r="G23">
        <v>843</v>
      </c>
      <c r="H23">
        <f t="shared" si="0"/>
        <v>12645</v>
      </c>
    </row>
    <row r="24" spans="3:8" x14ac:dyDescent="0.2">
      <c r="C24" s="4">
        <v>16</v>
      </c>
      <c r="D24" s="4">
        <v>873</v>
      </c>
      <c r="F24">
        <v>16</v>
      </c>
      <c r="G24">
        <v>873</v>
      </c>
      <c r="H24">
        <f t="shared" si="0"/>
        <v>13968</v>
      </c>
    </row>
    <row r="25" spans="3:8" x14ac:dyDescent="0.2">
      <c r="C25" s="4">
        <v>17</v>
      </c>
      <c r="D25" s="4">
        <v>877</v>
      </c>
      <c r="F25">
        <v>17</v>
      </c>
      <c r="G25">
        <v>877</v>
      </c>
      <c r="H25">
        <f t="shared" si="0"/>
        <v>14909</v>
      </c>
    </row>
    <row r="26" spans="3:8" x14ac:dyDescent="0.2">
      <c r="C26" s="4">
        <v>18</v>
      </c>
      <c r="D26" s="4">
        <v>903</v>
      </c>
      <c r="F26">
        <v>18</v>
      </c>
      <c r="G26">
        <v>903</v>
      </c>
      <c r="H26">
        <f t="shared" si="0"/>
        <v>16254</v>
      </c>
    </row>
    <row r="27" spans="3:8" x14ac:dyDescent="0.2">
      <c r="C27" s="4">
        <v>19</v>
      </c>
      <c r="D27" s="4">
        <v>827</v>
      </c>
      <c r="F27">
        <v>19</v>
      </c>
      <c r="G27">
        <v>827</v>
      </c>
      <c r="H27">
        <f t="shared" si="0"/>
        <v>15713</v>
      </c>
    </row>
    <row r="28" spans="3:8" x14ac:dyDescent="0.2">
      <c r="C28" s="4">
        <v>20</v>
      </c>
      <c r="D28" s="4">
        <v>810</v>
      </c>
      <c r="F28">
        <v>20</v>
      </c>
      <c r="G28">
        <v>810</v>
      </c>
      <c r="H28">
        <f t="shared" si="0"/>
        <v>16200</v>
      </c>
    </row>
    <row r="29" spans="3:8" x14ac:dyDescent="0.2">
      <c r="C29" s="4">
        <v>21</v>
      </c>
      <c r="D29" s="4">
        <v>813</v>
      </c>
      <c r="F29">
        <v>21</v>
      </c>
      <c r="G29">
        <v>813</v>
      </c>
      <c r="H29">
        <f t="shared" si="0"/>
        <v>17073</v>
      </c>
    </row>
    <row r="30" spans="3:8" x14ac:dyDescent="0.2">
      <c r="C30" s="4">
        <v>22</v>
      </c>
      <c r="D30" s="4">
        <v>769</v>
      </c>
      <c r="F30">
        <v>22</v>
      </c>
      <c r="G30">
        <v>769</v>
      </c>
      <c r="H30">
        <f t="shared" si="0"/>
        <v>16918</v>
      </c>
    </row>
    <row r="31" spans="3:8" x14ac:dyDescent="0.2">
      <c r="C31" s="4">
        <v>23</v>
      </c>
      <c r="D31" s="4">
        <v>720</v>
      </c>
      <c r="F31">
        <v>23</v>
      </c>
      <c r="G31">
        <v>720</v>
      </c>
      <c r="H31">
        <f t="shared" si="0"/>
        <v>16560</v>
      </c>
    </row>
    <row r="32" spans="3:8" x14ac:dyDescent="0.2">
      <c r="C32" s="4">
        <v>24</v>
      </c>
      <c r="D32" s="4">
        <v>669</v>
      </c>
      <c r="F32">
        <v>24</v>
      </c>
      <c r="G32">
        <v>669</v>
      </c>
      <c r="H32">
        <f t="shared" si="0"/>
        <v>16056</v>
      </c>
    </row>
    <row r="33" spans="3:8" x14ac:dyDescent="0.2">
      <c r="C33" s="4">
        <v>25</v>
      </c>
      <c r="D33" s="4">
        <v>625</v>
      </c>
      <c r="F33">
        <v>25</v>
      </c>
      <c r="G33">
        <v>625</v>
      </c>
      <c r="H33">
        <f t="shared" si="0"/>
        <v>15625</v>
      </c>
    </row>
    <row r="34" spans="3:8" x14ac:dyDescent="0.2">
      <c r="C34" s="4">
        <v>26</v>
      </c>
      <c r="D34" s="4">
        <v>663</v>
      </c>
      <c r="F34">
        <v>26</v>
      </c>
      <c r="G34">
        <v>663</v>
      </c>
      <c r="H34">
        <f t="shared" si="0"/>
        <v>17238</v>
      </c>
    </row>
    <row r="35" spans="3:8" x14ac:dyDescent="0.2">
      <c r="C35" s="4">
        <v>27</v>
      </c>
      <c r="D35" s="4">
        <v>658</v>
      </c>
      <c r="F35">
        <v>27</v>
      </c>
      <c r="G35">
        <v>658</v>
      </c>
      <c r="H35">
        <f t="shared" si="0"/>
        <v>17766</v>
      </c>
    </row>
    <row r="36" spans="3:8" x14ac:dyDescent="0.2">
      <c r="C36" s="4">
        <v>28</v>
      </c>
      <c r="D36" s="4">
        <v>633</v>
      </c>
      <c r="F36">
        <v>28</v>
      </c>
      <c r="G36">
        <v>633</v>
      </c>
      <c r="H36">
        <f t="shared" si="0"/>
        <v>17724</v>
      </c>
    </row>
    <row r="37" spans="3:8" x14ac:dyDescent="0.2">
      <c r="C37" s="4">
        <v>29</v>
      </c>
      <c r="D37" s="4">
        <v>713</v>
      </c>
      <c r="F37">
        <v>29</v>
      </c>
      <c r="G37">
        <v>713</v>
      </c>
      <c r="H37">
        <f t="shared" si="0"/>
        <v>20677</v>
      </c>
    </row>
    <row r="38" spans="3:8" x14ac:dyDescent="0.2">
      <c r="C38" s="4">
        <v>30</v>
      </c>
      <c r="D38" s="4">
        <v>705</v>
      </c>
      <c r="F38">
        <v>30</v>
      </c>
      <c r="G38">
        <v>705</v>
      </c>
      <c r="H38">
        <f t="shared" si="0"/>
        <v>21150</v>
      </c>
    </row>
    <row r="39" spans="3:8" x14ac:dyDescent="0.2">
      <c r="C39" s="4">
        <v>31</v>
      </c>
      <c r="D39" s="4">
        <v>739</v>
      </c>
      <c r="F39">
        <v>31</v>
      </c>
      <c r="G39">
        <v>739</v>
      </c>
      <c r="H39">
        <f t="shared" si="0"/>
        <v>22909</v>
      </c>
    </row>
    <row r="40" spans="3:8" x14ac:dyDescent="0.2">
      <c r="C40" s="4">
        <v>32</v>
      </c>
      <c r="D40" s="4">
        <v>746</v>
      </c>
      <c r="F40">
        <v>32</v>
      </c>
      <c r="G40">
        <v>746</v>
      </c>
      <c r="H40">
        <f t="shared" si="0"/>
        <v>23872</v>
      </c>
    </row>
    <row r="41" spans="3:8" x14ac:dyDescent="0.2">
      <c r="C41" s="4">
        <v>33</v>
      </c>
      <c r="D41" s="4">
        <v>750</v>
      </c>
      <c r="F41">
        <v>33</v>
      </c>
      <c r="G41">
        <v>750</v>
      </c>
      <c r="H41">
        <f t="shared" si="0"/>
        <v>24750</v>
      </c>
    </row>
    <row r="42" spans="3:8" x14ac:dyDescent="0.2">
      <c r="C42" s="4">
        <v>34</v>
      </c>
      <c r="D42" s="4">
        <v>774</v>
      </c>
      <c r="F42">
        <v>34</v>
      </c>
      <c r="G42">
        <v>774</v>
      </c>
      <c r="H42">
        <f t="shared" si="0"/>
        <v>26316</v>
      </c>
    </row>
    <row r="43" spans="3:8" x14ac:dyDescent="0.2">
      <c r="C43" s="4">
        <v>35</v>
      </c>
      <c r="D43" s="4">
        <v>833</v>
      </c>
      <c r="F43">
        <v>35</v>
      </c>
      <c r="G43">
        <v>833</v>
      </c>
      <c r="H43">
        <f t="shared" si="0"/>
        <v>29155</v>
      </c>
    </row>
    <row r="44" spans="3:8" x14ac:dyDescent="0.2">
      <c r="C44" s="4">
        <v>36</v>
      </c>
      <c r="D44" s="4">
        <v>835</v>
      </c>
      <c r="F44">
        <v>36</v>
      </c>
      <c r="G44">
        <v>835</v>
      </c>
      <c r="H44">
        <f t="shared" si="0"/>
        <v>30060</v>
      </c>
    </row>
    <row r="45" spans="3:8" x14ac:dyDescent="0.2">
      <c r="C45" s="4">
        <v>37</v>
      </c>
      <c r="D45" s="4">
        <v>908</v>
      </c>
      <c r="F45">
        <v>37</v>
      </c>
      <c r="G45">
        <v>908</v>
      </c>
      <c r="H45">
        <f t="shared" si="0"/>
        <v>33596</v>
      </c>
    </row>
    <row r="46" spans="3:8" x14ac:dyDescent="0.2">
      <c r="C46" s="4">
        <v>38</v>
      </c>
      <c r="D46" s="4">
        <v>948</v>
      </c>
      <c r="F46">
        <v>38</v>
      </c>
      <c r="G46">
        <v>948</v>
      </c>
      <c r="H46">
        <f t="shared" si="0"/>
        <v>36024</v>
      </c>
    </row>
    <row r="47" spans="3:8" x14ac:dyDescent="0.2">
      <c r="C47" s="4">
        <v>39</v>
      </c>
      <c r="D47" s="4">
        <v>1006</v>
      </c>
      <c r="F47">
        <v>39</v>
      </c>
      <c r="G47">
        <v>1006</v>
      </c>
      <c r="H47">
        <f t="shared" si="0"/>
        <v>39234</v>
      </c>
    </row>
    <row r="48" spans="3:8" x14ac:dyDescent="0.2">
      <c r="C48" s="4">
        <v>40</v>
      </c>
      <c r="D48" s="4">
        <v>981</v>
      </c>
      <c r="F48">
        <v>40</v>
      </c>
      <c r="G48">
        <v>981</v>
      </c>
      <c r="H48">
        <f t="shared" si="0"/>
        <v>39240</v>
      </c>
    </row>
    <row r="49" spans="3:8" x14ac:dyDescent="0.2">
      <c r="C49" s="4">
        <v>41</v>
      </c>
      <c r="D49" s="4">
        <v>1024</v>
      </c>
      <c r="F49">
        <v>41</v>
      </c>
      <c r="G49">
        <v>1024</v>
      </c>
      <c r="H49">
        <f t="shared" si="0"/>
        <v>41984</v>
      </c>
    </row>
    <row r="50" spans="3:8" x14ac:dyDescent="0.2">
      <c r="C50" s="4">
        <v>42</v>
      </c>
      <c r="D50" s="4">
        <v>1045</v>
      </c>
      <c r="F50">
        <v>42</v>
      </c>
      <c r="G50">
        <v>1045</v>
      </c>
      <c r="H50">
        <f t="shared" si="0"/>
        <v>43890</v>
      </c>
    </row>
    <row r="51" spans="3:8" x14ac:dyDescent="0.2">
      <c r="C51" s="4">
        <v>43</v>
      </c>
      <c r="D51" s="4">
        <v>950</v>
      </c>
      <c r="F51">
        <v>43</v>
      </c>
      <c r="G51">
        <v>950</v>
      </c>
      <c r="H51">
        <f t="shared" si="0"/>
        <v>40850</v>
      </c>
    </row>
    <row r="52" spans="3:8" x14ac:dyDescent="0.2">
      <c r="C52" s="4">
        <v>44</v>
      </c>
      <c r="D52" s="4">
        <v>907</v>
      </c>
      <c r="F52">
        <v>44</v>
      </c>
      <c r="G52">
        <v>907</v>
      </c>
      <c r="H52">
        <f t="shared" si="0"/>
        <v>39908</v>
      </c>
    </row>
    <row r="53" spans="3:8" x14ac:dyDescent="0.2">
      <c r="C53" s="4">
        <v>45</v>
      </c>
      <c r="D53" s="4">
        <v>945</v>
      </c>
      <c r="F53">
        <v>45</v>
      </c>
      <c r="G53">
        <v>945</v>
      </c>
      <c r="H53">
        <f t="shared" si="0"/>
        <v>42525</v>
      </c>
    </row>
    <row r="54" spans="3:8" x14ac:dyDescent="0.2">
      <c r="C54" s="4">
        <v>46</v>
      </c>
      <c r="D54" s="4">
        <v>949</v>
      </c>
      <c r="F54">
        <v>46</v>
      </c>
      <c r="G54">
        <v>949</v>
      </c>
      <c r="H54">
        <f t="shared" si="0"/>
        <v>43654</v>
      </c>
    </row>
    <row r="55" spans="3:8" x14ac:dyDescent="0.2">
      <c r="C55" s="4">
        <v>47</v>
      </c>
      <c r="D55" s="4">
        <v>871</v>
      </c>
      <c r="F55">
        <v>47</v>
      </c>
      <c r="G55">
        <v>871</v>
      </c>
      <c r="H55">
        <f t="shared" si="0"/>
        <v>40937</v>
      </c>
    </row>
    <row r="56" spans="3:8" x14ac:dyDescent="0.2">
      <c r="C56" s="4">
        <v>48</v>
      </c>
      <c r="D56" s="4">
        <v>841</v>
      </c>
      <c r="F56">
        <v>48</v>
      </c>
      <c r="G56">
        <v>841</v>
      </c>
      <c r="H56">
        <f t="shared" si="0"/>
        <v>40368</v>
      </c>
    </row>
    <row r="57" spans="3:8" x14ac:dyDescent="0.2">
      <c r="C57" s="4">
        <v>49</v>
      </c>
      <c r="D57" s="4">
        <v>946</v>
      </c>
      <c r="F57">
        <v>49</v>
      </c>
      <c r="G57">
        <v>946</v>
      </c>
      <c r="H57">
        <f t="shared" si="0"/>
        <v>46354</v>
      </c>
    </row>
    <row r="58" spans="3:8" x14ac:dyDescent="0.2">
      <c r="C58" s="4">
        <v>50</v>
      </c>
      <c r="D58" s="4">
        <v>897</v>
      </c>
      <c r="F58">
        <v>50</v>
      </c>
      <c r="G58">
        <v>897</v>
      </c>
      <c r="H58">
        <f t="shared" si="0"/>
        <v>44850</v>
      </c>
    </row>
    <row r="59" spans="3:8" x14ac:dyDescent="0.2">
      <c r="C59" s="4">
        <v>51</v>
      </c>
      <c r="D59" s="4">
        <v>815</v>
      </c>
      <c r="F59">
        <v>51</v>
      </c>
      <c r="G59">
        <v>815</v>
      </c>
      <c r="H59">
        <f t="shared" si="0"/>
        <v>41565</v>
      </c>
    </row>
    <row r="60" spans="3:8" x14ac:dyDescent="0.2">
      <c r="C60" s="4">
        <v>52</v>
      </c>
      <c r="D60" s="4">
        <v>823</v>
      </c>
      <c r="F60">
        <v>52</v>
      </c>
      <c r="G60">
        <v>823</v>
      </c>
      <c r="H60">
        <f t="shared" si="0"/>
        <v>42796</v>
      </c>
    </row>
    <row r="61" spans="3:8" x14ac:dyDescent="0.2">
      <c r="C61" s="4">
        <v>53</v>
      </c>
      <c r="D61" s="4">
        <v>785</v>
      </c>
      <c r="F61">
        <v>53</v>
      </c>
      <c r="G61">
        <v>785</v>
      </c>
      <c r="H61">
        <f t="shared" si="0"/>
        <v>41605</v>
      </c>
    </row>
    <row r="62" spans="3:8" x14ac:dyDescent="0.2">
      <c r="C62" s="4">
        <v>54</v>
      </c>
      <c r="D62" s="4">
        <v>805</v>
      </c>
      <c r="F62">
        <v>54</v>
      </c>
      <c r="G62">
        <v>805</v>
      </c>
      <c r="H62">
        <f t="shared" si="0"/>
        <v>43470</v>
      </c>
    </row>
    <row r="63" spans="3:8" x14ac:dyDescent="0.2">
      <c r="C63" s="4">
        <v>55</v>
      </c>
      <c r="D63" s="4">
        <v>804</v>
      </c>
      <c r="F63">
        <v>55</v>
      </c>
      <c r="G63">
        <v>804</v>
      </c>
      <c r="H63">
        <f t="shared" si="0"/>
        <v>44220</v>
      </c>
    </row>
    <row r="64" spans="3:8" x14ac:dyDescent="0.2">
      <c r="C64" s="4">
        <v>56</v>
      </c>
      <c r="D64" s="4">
        <v>795</v>
      </c>
      <c r="F64">
        <v>56</v>
      </c>
      <c r="G64">
        <v>795</v>
      </c>
      <c r="H64">
        <f t="shared" si="0"/>
        <v>44520</v>
      </c>
    </row>
    <row r="65" spans="3:8" x14ac:dyDescent="0.2">
      <c r="C65" s="4">
        <v>57</v>
      </c>
      <c r="D65" s="4">
        <v>740</v>
      </c>
      <c r="F65">
        <v>57</v>
      </c>
      <c r="G65">
        <v>740</v>
      </c>
      <c r="H65">
        <f t="shared" si="0"/>
        <v>42180</v>
      </c>
    </row>
    <row r="66" spans="3:8" x14ac:dyDescent="0.2">
      <c r="C66" s="4">
        <v>58</v>
      </c>
      <c r="D66" s="4">
        <v>724</v>
      </c>
      <c r="F66">
        <v>58</v>
      </c>
      <c r="G66">
        <v>724</v>
      </c>
      <c r="H66">
        <f t="shared" si="0"/>
        <v>41992</v>
      </c>
    </row>
    <row r="67" spans="3:8" x14ac:dyDescent="0.2">
      <c r="C67" s="4">
        <v>59</v>
      </c>
      <c r="D67" s="4">
        <v>743</v>
      </c>
      <c r="F67">
        <v>59</v>
      </c>
      <c r="G67">
        <v>743</v>
      </c>
      <c r="H67">
        <f t="shared" si="0"/>
        <v>43837</v>
      </c>
    </row>
    <row r="68" spans="3:8" x14ac:dyDescent="0.2">
      <c r="C68" s="4">
        <v>60</v>
      </c>
      <c r="D68" s="4">
        <v>673</v>
      </c>
      <c r="F68">
        <v>60</v>
      </c>
      <c r="G68">
        <v>673</v>
      </c>
      <c r="H68">
        <f t="shared" si="0"/>
        <v>40380</v>
      </c>
    </row>
    <row r="69" spans="3:8" x14ac:dyDescent="0.2">
      <c r="C69" s="4">
        <v>61</v>
      </c>
      <c r="D69" s="4">
        <v>684</v>
      </c>
      <c r="F69">
        <v>61</v>
      </c>
      <c r="G69">
        <v>684</v>
      </c>
      <c r="H69">
        <f t="shared" si="0"/>
        <v>41724</v>
      </c>
    </row>
    <row r="70" spans="3:8" x14ac:dyDescent="0.2">
      <c r="C70" s="4">
        <v>62</v>
      </c>
      <c r="D70" s="4">
        <v>713</v>
      </c>
      <c r="F70">
        <v>62</v>
      </c>
      <c r="G70">
        <v>713</v>
      </c>
      <c r="H70">
        <f t="shared" si="0"/>
        <v>44206</v>
      </c>
    </row>
    <row r="71" spans="3:8" x14ac:dyDescent="0.2">
      <c r="C71" s="4">
        <v>63</v>
      </c>
      <c r="D71" s="4">
        <v>642</v>
      </c>
      <c r="F71">
        <v>63</v>
      </c>
      <c r="G71">
        <v>642</v>
      </c>
      <c r="H71">
        <f t="shared" si="0"/>
        <v>40446</v>
      </c>
    </row>
    <row r="72" spans="3:8" x14ac:dyDescent="0.2">
      <c r="C72" s="4">
        <v>64</v>
      </c>
      <c r="D72" s="4">
        <v>610</v>
      </c>
      <c r="F72">
        <v>64</v>
      </c>
      <c r="G72">
        <v>610</v>
      </c>
      <c r="H72">
        <f t="shared" si="0"/>
        <v>39040</v>
      </c>
    </row>
    <row r="73" spans="3:8" x14ac:dyDescent="0.2">
      <c r="C73" s="4">
        <v>65</v>
      </c>
      <c r="D73" s="4">
        <v>628</v>
      </c>
      <c r="F73">
        <v>65</v>
      </c>
      <c r="G73">
        <v>628</v>
      </c>
      <c r="H73">
        <f t="shared" ref="H73:H108" si="1">F73*G73</f>
        <v>40820</v>
      </c>
    </row>
    <row r="74" spans="3:8" x14ac:dyDescent="0.2">
      <c r="C74" s="4">
        <v>66</v>
      </c>
      <c r="D74" s="4">
        <v>569</v>
      </c>
      <c r="F74">
        <v>66</v>
      </c>
      <c r="G74">
        <v>569</v>
      </c>
      <c r="H74">
        <f t="shared" si="1"/>
        <v>37554</v>
      </c>
    </row>
    <row r="75" spans="3:8" x14ac:dyDescent="0.2">
      <c r="C75" s="4">
        <v>67</v>
      </c>
      <c r="D75" s="4">
        <v>562</v>
      </c>
      <c r="F75">
        <v>67</v>
      </c>
      <c r="G75">
        <v>562</v>
      </c>
      <c r="H75">
        <f t="shared" si="1"/>
        <v>37654</v>
      </c>
    </row>
    <row r="76" spans="3:8" x14ac:dyDescent="0.2">
      <c r="C76" s="4">
        <v>68</v>
      </c>
      <c r="D76" s="4">
        <v>565</v>
      </c>
      <c r="F76">
        <v>68</v>
      </c>
      <c r="G76">
        <v>565</v>
      </c>
      <c r="H76">
        <f t="shared" si="1"/>
        <v>38420</v>
      </c>
    </row>
    <row r="77" spans="3:8" x14ac:dyDescent="0.2">
      <c r="C77" s="4">
        <v>69</v>
      </c>
      <c r="D77" s="4">
        <v>587</v>
      </c>
      <c r="F77">
        <v>69</v>
      </c>
      <c r="G77">
        <v>587</v>
      </c>
      <c r="H77">
        <f t="shared" si="1"/>
        <v>40503</v>
      </c>
    </row>
    <row r="78" spans="3:8" x14ac:dyDescent="0.2">
      <c r="C78" s="4">
        <v>70</v>
      </c>
      <c r="D78" s="4">
        <v>522</v>
      </c>
      <c r="F78">
        <v>70</v>
      </c>
      <c r="G78">
        <v>522</v>
      </c>
      <c r="H78">
        <f t="shared" si="1"/>
        <v>36540</v>
      </c>
    </row>
    <row r="79" spans="3:8" x14ac:dyDescent="0.2">
      <c r="C79" s="4">
        <v>71</v>
      </c>
      <c r="D79" s="4">
        <v>497</v>
      </c>
      <c r="F79">
        <v>71</v>
      </c>
      <c r="G79">
        <v>497</v>
      </c>
      <c r="H79">
        <f t="shared" si="1"/>
        <v>35287</v>
      </c>
    </row>
    <row r="80" spans="3:8" x14ac:dyDescent="0.2">
      <c r="C80" s="4">
        <v>72</v>
      </c>
      <c r="D80" s="4">
        <v>526</v>
      </c>
      <c r="F80">
        <v>72</v>
      </c>
      <c r="G80">
        <v>526</v>
      </c>
      <c r="H80">
        <f t="shared" si="1"/>
        <v>37872</v>
      </c>
    </row>
    <row r="81" spans="3:8" x14ac:dyDescent="0.2">
      <c r="C81" s="4">
        <v>73</v>
      </c>
      <c r="D81" s="4">
        <v>461</v>
      </c>
      <c r="F81">
        <v>73</v>
      </c>
      <c r="G81">
        <v>461</v>
      </c>
      <c r="H81">
        <f t="shared" si="1"/>
        <v>33653</v>
      </c>
    </row>
    <row r="82" spans="3:8" x14ac:dyDescent="0.2">
      <c r="C82" s="4">
        <v>74</v>
      </c>
      <c r="D82" s="4">
        <v>475</v>
      </c>
      <c r="F82">
        <v>74</v>
      </c>
      <c r="G82">
        <v>475</v>
      </c>
      <c r="H82">
        <f t="shared" si="1"/>
        <v>35150</v>
      </c>
    </row>
    <row r="83" spans="3:8" x14ac:dyDescent="0.2">
      <c r="C83" s="4">
        <v>75</v>
      </c>
      <c r="D83" s="4">
        <v>404</v>
      </c>
      <c r="F83">
        <v>75</v>
      </c>
      <c r="G83">
        <v>404</v>
      </c>
      <c r="H83">
        <f t="shared" si="1"/>
        <v>30300</v>
      </c>
    </row>
    <row r="84" spans="3:8" x14ac:dyDescent="0.2">
      <c r="C84" s="4">
        <v>76</v>
      </c>
      <c r="D84" s="4">
        <v>412</v>
      </c>
      <c r="F84">
        <v>76</v>
      </c>
      <c r="G84">
        <v>412</v>
      </c>
      <c r="H84">
        <f t="shared" si="1"/>
        <v>31312</v>
      </c>
    </row>
    <row r="85" spans="3:8" x14ac:dyDescent="0.2">
      <c r="C85" s="4">
        <v>77</v>
      </c>
      <c r="D85" s="4">
        <v>372</v>
      </c>
      <c r="F85">
        <v>77</v>
      </c>
      <c r="G85">
        <v>372</v>
      </c>
      <c r="H85">
        <f t="shared" si="1"/>
        <v>28644</v>
      </c>
    </row>
    <row r="86" spans="3:8" x14ac:dyDescent="0.2">
      <c r="C86" s="4">
        <v>78</v>
      </c>
      <c r="D86" s="4">
        <v>312</v>
      </c>
      <c r="F86">
        <v>78</v>
      </c>
      <c r="G86">
        <v>312</v>
      </c>
      <c r="H86">
        <f t="shared" si="1"/>
        <v>24336</v>
      </c>
    </row>
    <row r="87" spans="3:8" x14ac:dyDescent="0.2">
      <c r="C87" s="4">
        <v>79</v>
      </c>
      <c r="D87" s="4">
        <v>339</v>
      </c>
      <c r="F87">
        <v>79</v>
      </c>
      <c r="G87">
        <v>339</v>
      </c>
      <c r="H87">
        <f t="shared" si="1"/>
        <v>26781</v>
      </c>
    </row>
    <row r="88" spans="3:8" x14ac:dyDescent="0.2">
      <c r="C88" s="4">
        <v>80</v>
      </c>
      <c r="D88" s="4">
        <v>279</v>
      </c>
      <c r="F88">
        <v>80</v>
      </c>
      <c r="G88">
        <v>279</v>
      </c>
      <c r="H88">
        <f t="shared" si="1"/>
        <v>22320</v>
      </c>
    </row>
    <row r="89" spans="3:8" x14ac:dyDescent="0.2">
      <c r="C89" s="4">
        <v>81</v>
      </c>
      <c r="D89" s="4">
        <v>265</v>
      </c>
      <c r="F89">
        <v>81</v>
      </c>
      <c r="G89">
        <v>265</v>
      </c>
      <c r="H89">
        <f t="shared" si="1"/>
        <v>21465</v>
      </c>
    </row>
    <row r="90" spans="3:8" x14ac:dyDescent="0.2">
      <c r="C90" s="4">
        <v>82</v>
      </c>
      <c r="D90" s="4">
        <v>240</v>
      </c>
      <c r="F90">
        <v>82</v>
      </c>
      <c r="G90">
        <v>240</v>
      </c>
      <c r="H90">
        <f t="shared" si="1"/>
        <v>19680</v>
      </c>
    </row>
    <row r="91" spans="3:8" x14ac:dyDescent="0.2">
      <c r="C91" s="4">
        <v>83</v>
      </c>
      <c r="D91" s="4">
        <v>203</v>
      </c>
      <c r="F91">
        <v>83</v>
      </c>
      <c r="G91">
        <v>203</v>
      </c>
      <c r="H91">
        <f t="shared" si="1"/>
        <v>16849</v>
      </c>
    </row>
    <row r="92" spans="3:8" x14ac:dyDescent="0.2">
      <c r="C92" s="4">
        <v>84</v>
      </c>
      <c r="D92" s="4">
        <v>198</v>
      </c>
      <c r="F92">
        <v>84</v>
      </c>
      <c r="G92">
        <v>198</v>
      </c>
      <c r="H92">
        <f t="shared" si="1"/>
        <v>16632</v>
      </c>
    </row>
    <row r="93" spans="3:8" x14ac:dyDescent="0.2">
      <c r="C93" s="4">
        <v>85</v>
      </c>
      <c r="D93" s="4">
        <v>141</v>
      </c>
      <c r="F93">
        <v>85</v>
      </c>
      <c r="G93">
        <v>141</v>
      </c>
      <c r="H93">
        <f t="shared" si="1"/>
        <v>11985</v>
      </c>
    </row>
    <row r="94" spans="3:8" x14ac:dyDescent="0.2">
      <c r="C94" s="4">
        <v>86</v>
      </c>
      <c r="D94" s="4">
        <v>159</v>
      </c>
      <c r="F94">
        <v>86</v>
      </c>
      <c r="G94">
        <v>159</v>
      </c>
      <c r="H94">
        <f t="shared" si="1"/>
        <v>13674</v>
      </c>
    </row>
    <row r="95" spans="3:8" x14ac:dyDescent="0.2">
      <c r="C95" s="4">
        <v>87</v>
      </c>
      <c r="D95" s="4">
        <v>119</v>
      </c>
      <c r="F95">
        <v>87</v>
      </c>
      <c r="G95">
        <v>119</v>
      </c>
      <c r="H95">
        <f t="shared" si="1"/>
        <v>10353</v>
      </c>
    </row>
    <row r="96" spans="3:8" x14ac:dyDescent="0.2">
      <c r="C96" s="4">
        <v>88</v>
      </c>
      <c r="D96" s="4">
        <v>105</v>
      </c>
      <c r="F96">
        <v>88</v>
      </c>
      <c r="G96">
        <v>105</v>
      </c>
      <c r="H96">
        <f t="shared" si="1"/>
        <v>9240</v>
      </c>
    </row>
    <row r="97" spans="3:13" x14ac:dyDescent="0.2">
      <c r="C97" s="4">
        <v>89</v>
      </c>
      <c r="D97" s="4">
        <v>86</v>
      </c>
      <c r="F97">
        <v>89</v>
      </c>
      <c r="G97">
        <v>86</v>
      </c>
      <c r="H97">
        <f t="shared" si="1"/>
        <v>7654</v>
      </c>
    </row>
    <row r="98" spans="3:13" x14ac:dyDescent="0.2">
      <c r="C98" s="4">
        <v>90</v>
      </c>
      <c r="D98" s="4">
        <v>65</v>
      </c>
      <c r="F98">
        <v>90</v>
      </c>
      <c r="G98">
        <v>65</v>
      </c>
      <c r="H98">
        <f t="shared" si="1"/>
        <v>5850</v>
      </c>
    </row>
    <row r="99" spans="3:13" x14ac:dyDescent="0.2">
      <c r="C99" s="4">
        <v>91</v>
      </c>
      <c r="D99" s="4">
        <v>72</v>
      </c>
      <c r="F99">
        <v>91</v>
      </c>
      <c r="G99">
        <v>72</v>
      </c>
      <c r="H99">
        <f t="shared" si="1"/>
        <v>6552</v>
      </c>
    </row>
    <row r="100" spans="3:13" x14ac:dyDescent="0.2">
      <c r="C100" s="4">
        <v>92</v>
      </c>
      <c r="D100" s="4">
        <v>38</v>
      </c>
      <c r="F100">
        <v>92</v>
      </c>
      <c r="G100">
        <v>38</v>
      </c>
      <c r="H100">
        <f t="shared" si="1"/>
        <v>3496</v>
      </c>
    </row>
    <row r="101" spans="3:13" x14ac:dyDescent="0.2">
      <c r="C101" s="4">
        <v>93</v>
      </c>
      <c r="D101" s="4">
        <v>26</v>
      </c>
      <c r="F101">
        <v>93</v>
      </c>
      <c r="G101">
        <v>26</v>
      </c>
      <c r="H101">
        <f t="shared" si="1"/>
        <v>2418</v>
      </c>
    </row>
    <row r="102" spans="3:13" x14ac:dyDescent="0.2">
      <c r="C102" s="4">
        <v>94</v>
      </c>
      <c r="D102" s="4">
        <v>24</v>
      </c>
      <c r="F102">
        <v>94</v>
      </c>
      <c r="G102">
        <v>24</v>
      </c>
      <c r="H102">
        <f t="shared" si="1"/>
        <v>2256</v>
      </c>
    </row>
    <row r="103" spans="3:13" x14ac:dyDescent="0.2">
      <c r="C103" s="4">
        <v>95</v>
      </c>
      <c r="D103" s="4">
        <v>14</v>
      </c>
      <c r="F103">
        <v>95</v>
      </c>
      <c r="G103">
        <v>14</v>
      </c>
      <c r="H103">
        <f t="shared" si="1"/>
        <v>1330</v>
      </c>
    </row>
    <row r="104" spans="3:13" x14ac:dyDescent="0.2">
      <c r="C104" s="4">
        <v>96</v>
      </c>
      <c r="D104" s="4">
        <v>11</v>
      </c>
      <c r="F104">
        <v>96</v>
      </c>
      <c r="G104">
        <v>11</v>
      </c>
      <c r="H104">
        <f t="shared" si="1"/>
        <v>1056</v>
      </c>
    </row>
    <row r="105" spans="3:13" x14ac:dyDescent="0.2">
      <c r="C105" s="4">
        <v>97</v>
      </c>
      <c r="D105" s="4">
        <v>11</v>
      </c>
      <c r="F105">
        <v>97</v>
      </c>
      <c r="G105">
        <v>11</v>
      </c>
      <c r="H105">
        <f t="shared" si="1"/>
        <v>1067</v>
      </c>
    </row>
    <row r="106" spans="3:13" x14ac:dyDescent="0.2">
      <c r="C106" s="4">
        <v>98</v>
      </c>
      <c r="D106" s="4">
        <v>7</v>
      </c>
      <c r="F106">
        <v>98</v>
      </c>
      <c r="G106">
        <v>7</v>
      </c>
      <c r="H106">
        <f t="shared" si="1"/>
        <v>686</v>
      </c>
    </row>
    <row r="107" spans="3:13" x14ac:dyDescent="0.2">
      <c r="C107" s="4">
        <v>99</v>
      </c>
      <c r="D107" s="4">
        <v>7</v>
      </c>
      <c r="F107">
        <v>99</v>
      </c>
      <c r="G107">
        <v>7</v>
      </c>
      <c r="H107">
        <f t="shared" si="1"/>
        <v>693</v>
      </c>
    </row>
    <row r="108" spans="3:13" x14ac:dyDescent="0.2">
      <c r="C108" s="4">
        <v>100</v>
      </c>
      <c r="D108" s="4">
        <v>3</v>
      </c>
      <c r="F108">
        <v>100</v>
      </c>
      <c r="G108">
        <v>3</v>
      </c>
      <c r="H108">
        <f t="shared" si="1"/>
        <v>300</v>
      </c>
    </row>
    <row r="109" spans="3:13" x14ac:dyDescent="0.2">
      <c r="C109" t="s">
        <v>35</v>
      </c>
      <c r="D109">
        <v>61968</v>
      </c>
      <c r="H109" s="14">
        <f>SUM(H8:H108)</f>
        <v>2371825</v>
      </c>
      <c r="K109" s="2" t="s">
        <v>36</v>
      </c>
      <c r="L109" s="14">
        <f>H109/GETPIVOTDATA("Carlow County Council",$C$6)</f>
        <v>38.274996772527757</v>
      </c>
      <c r="M109" s="1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E4B699-7CFA-6A4C-99B6-F0D8BAC7974F}">
  <dimension ref="A1:G103"/>
  <sheetViews>
    <sheetView tabSelected="1" zoomScale="120" zoomScaleNormal="120" workbookViewId="0">
      <selection activeCell="F44" sqref="F44"/>
    </sheetView>
  </sheetViews>
  <sheetFormatPr baseColWidth="10" defaultRowHeight="16" x14ac:dyDescent="0.2"/>
  <cols>
    <col min="5" max="5" width="20.6640625" customWidth="1"/>
  </cols>
  <sheetData>
    <row r="1" spans="1:7" ht="51" x14ac:dyDescent="0.2">
      <c r="A1" s="8" t="s">
        <v>0</v>
      </c>
      <c r="B1" s="9" t="s">
        <v>1</v>
      </c>
      <c r="C1" s="5" t="s">
        <v>37</v>
      </c>
    </row>
    <row r="2" spans="1:7" x14ac:dyDescent="0.2">
      <c r="A2" s="10">
        <v>0</v>
      </c>
      <c r="B2" s="11">
        <v>699</v>
      </c>
      <c r="C2">
        <f>SUM($B$2:B2)</f>
        <v>699</v>
      </c>
      <c r="E2" t="s">
        <v>38</v>
      </c>
      <c r="F2" s="3">
        <f>MAX(B2:B102)</f>
        <v>1045</v>
      </c>
    </row>
    <row r="3" spans="1:7" x14ac:dyDescent="0.2">
      <c r="A3" s="10">
        <v>1</v>
      </c>
      <c r="B3" s="11">
        <v>649</v>
      </c>
      <c r="C3">
        <f>SUM($B$2:B3)</f>
        <v>1348</v>
      </c>
    </row>
    <row r="4" spans="1:7" x14ac:dyDescent="0.2">
      <c r="A4" s="10">
        <v>2</v>
      </c>
      <c r="B4" s="11">
        <v>689</v>
      </c>
      <c r="C4">
        <f>SUM($B$2:B4)</f>
        <v>2037</v>
      </c>
      <c r="E4" t="s">
        <v>39</v>
      </c>
      <c r="F4" s="14">
        <v>42</v>
      </c>
      <c r="G4" s="14" t="s">
        <v>40</v>
      </c>
    </row>
    <row r="5" spans="1:7" x14ac:dyDescent="0.2">
      <c r="A5" s="10">
        <v>3</v>
      </c>
      <c r="B5" s="11">
        <v>754</v>
      </c>
      <c r="C5">
        <f>SUM($B$2:B5)</f>
        <v>2791</v>
      </c>
    </row>
    <row r="6" spans="1:7" x14ac:dyDescent="0.2">
      <c r="A6" s="10">
        <v>4</v>
      </c>
      <c r="B6" s="11">
        <v>745</v>
      </c>
      <c r="C6">
        <f>SUM($B$2:B6)</f>
        <v>3536</v>
      </c>
    </row>
    <row r="7" spans="1:7" x14ac:dyDescent="0.2">
      <c r="A7" s="10">
        <v>5</v>
      </c>
      <c r="B7" s="11">
        <v>749</v>
      </c>
      <c r="C7">
        <f>SUM($B$2:B7)</f>
        <v>4285</v>
      </c>
    </row>
    <row r="8" spans="1:7" x14ac:dyDescent="0.2">
      <c r="A8" s="10">
        <v>6</v>
      </c>
      <c r="B8" s="11">
        <v>750</v>
      </c>
      <c r="C8">
        <f>SUM($B$2:B8)</f>
        <v>5035</v>
      </c>
    </row>
    <row r="9" spans="1:7" x14ac:dyDescent="0.2">
      <c r="A9" s="10">
        <v>7</v>
      </c>
      <c r="B9" s="11">
        <v>889</v>
      </c>
      <c r="C9">
        <f>SUM($B$2:B9)</f>
        <v>5924</v>
      </c>
    </row>
    <row r="10" spans="1:7" x14ac:dyDescent="0.2">
      <c r="A10" s="10">
        <v>8</v>
      </c>
      <c r="B10" s="11">
        <v>819</v>
      </c>
      <c r="C10">
        <f>SUM($B$2:B10)</f>
        <v>6743</v>
      </c>
    </row>
    <row r="11" spans="1:7" x14ac:dyDescent="0.2">
      <c r="A11" s="10">
        <v>9</v>
      </c>
      <c r="B11" s="11">
        <v>882</v>
      </c>
      <c r="C11">
        <f>SUM($B$2:B11)</f>
        <v>7625</v>
      </c>
    </row>
    <row r="12" spans="1:7" x14ac:dyDescent="0.2">
      <c r="A12" s="10">
        <v>10</v>
      </c>
      <c r="B12" s="11">
        <v>921</v>
      </c>
      <c r="C12">
        <f>SUM($B$2:B12)</f>
        <v>8546</v>
      </c>
    </row>
    <row r="13" spans="1:7" x14ac:dyDescent="0.2">
      <c r="A13" s="10">
        <v>11</v>
      </c>
      <c r="B13" s="11">
        <v>964</v>
      </c>
      <c r="C13">
        <f>SUM($B$2:B13)</f>
        <v>9510</v>
      </c>
    </row>
    <row r="14" spans="1:7" x14ac:dyDescent="0.2">
      <c r="A14" s="10">
        <v>12</v>
      </c>
      <c r="B14" s="11">
        <v>908</v>
      </c>
      <c r="C14">
        <f>SUM($B$2:B14)</f>
        <v>10418</v>
      </c>
    </row>
    <row r="15" spans="1:7" x14ac:dyDescent="0.2">
      <c r="A15" s="10">
        <v>13</v>
      </c>
      <c r="B15" s="11">
        <v>943</v>
      </c>
      <c r="C15">
        <f>SUM($B$2:B15)</f>
        <v>11361</v>
      </c>
    </row>
    <row r="16" spans="1:7" x14ac:dyDescent="0.2">
      <c r="A16" s="10">
        <v>14</v>
      </c>
      <c r="B16" s="11">
        <v>951</v>
      </c>
      <c r="C16">
        <f>SUM($B$2:B16)</f>
        <v>12312</v>
      </c>
    </row>
    <row r="17" spans="1:3" x14ac:dyDescent="0.2">
      <c r="A17" s="10">
        <v>15</v>
      </c>
      <c r="B17" s="11">
        <v>843</v>
      </c>
      <c r="C17">
        <f>SUM($B$2:B17)</f>
        <v>13155</v>
      </c>
    </row>
    <row r="18" spans="1:3" x14ac:dyDescent="0.2">
      <c r="A18" s="10">
        <v>16</v>
      </c>
      <c r="B18" s="11">
        <v>873</v>
      </c>
      <c r="C18">
        <f>SUM($B$2:B18)</f>
        <v>14028</v>
      </c>
    </row>
    <row r="19" spans="1:3" x14ac:dyDescent="0.2">
      <c r="A19" s="10">
        <v>17</v>
      </c>
      <c r="B19" s="11">
        <v>877</v>
      </c>
      <c r="C19">
        <f>SUM($B$2:B19)</f>
        <v>14905</v>
      </c>
    </row>
    <row r="20" spans="1:3" x14ac:dyDescent="0.2">
      <c r="A20" s="10">
        <v>18</v>
      </c>
      <c r="B20" s="11">
        <v>903</v>
      </c>
      <c r="C20">
        <f>SUM($B$2:B20)</f>
        <v>15808</v>
      </c>
    </row>
    <row r="21" spans="1:3" x14ac:dyDescent="0.2">
      <c r="A21" s="10">
        <v>19</v>
      </c>
      <c r="B21" s="11">
        <v>827</v>
      </c>
      <c r="C21">
        <f>SUM($B$2:B21)</f>
        <v>16635</v>
      </c>
    </row>
    <row r="22" spans="1:3" x14ac:dyDescent="0.2">
      <c r="A22" s="10">
        <v>20</v>
      </c>
      <c r="B22" s="11">
        <v>810</v>
      </c>
      <c r="C22">
        <f>SUM($B$2:B22)</f>
        <v>17445</v>
      </c>
    </row>
    <row r="23" spans="1:3" x14ac:dyDescent="0.2">
      <c r="A23" s="10">
        <v>21</v>
      </c>
      <c r="B23" s="11">
        <v>813</v>
      </c>
      <c r="C23">
        <f>SUM($B$2:B23)</f>
        <v>18258</v>
      </c>
    </row>
    <row r="24" spans="1:3" x14ac:dyDescent="0.2">
      <c r="A24" s="10">
        <v>22</v>
      </c>
      <c r="B24" s="11">
        <v>769</v>
      </c>
      <c r="C24">
        <f>SUM($B$2:B24)</f>
        <v>19027</v>
      </c>
    </row>
    <row r="25" spans="1:3" x14ac:dyDescent="0.2">
      <c r="A25" s="10">
        <v>23</v>
      </c>
      <c r="B25" s="11">
        <v>720</v>
      </c>
      <c r="C25">
        <f>SUM($B$2:B25)</f>
        <v>19747</v>
      </c>
    </row>
    <row r="26" spans="1:3" x14ac:dyDescent="0.2">
      <c r="A26" s="10">
        <v>24</v>
      </c>
      <c r="B26" s="11">
        <v>669</v>
      </c>
      <c r="C26">
        <f>SUM($B$2:B26)</f>
        <v>20416</v>
      </c>
    </row>
    <row r="27" spans="1:3" x14ac:dyDescent="0.2">
      <c r="A27" s="10">
        <v>25</v>
      </c>
      <c r="B27" s="11">
        <v>625</v>
      </c>
      <c r="C27">
        <f>SUM($B$2:B27)</f>
        <v>21041</v>
      </c>
    </row>
    <row r="28" spans="1:3" x14ac:dyDescent="0.2">
      <c r="A28" s="10">
        <v>26</v>
      </c>
      <c r="B28" s="11">
        <v>663</v>
      </c>
      <c r="C28">
        <f>SUM($B$2:B28)</f>
        <v>21704</v>
      </c>
    </row>
    <row r="29" spans="1:3" x14ac:dyDescent="0.2">
      <c r="A29" s="10">
        <v>27</v>
      </c>
      <c r="B29" s="11">
        <v>658</v>
      </c>
      <c r="C29">
        <f>SUM($B$2:B29)</f>
        <v>22362</v>
      </c>
    </row>
    <row r="30" spans="1:3" x14ac:dyDescent="0.2">
      <c r="A30" s="10">
        <v>28</v>
      </c>
      <c r="B30" s="11">
        <v>633</v>
      </c>
      <c r="C30">
        <f>SUM($B$2:B30)</f>
        <v>22995</v>
      </c>
    </row>
    <row r="31" spans="1:3" x14ac:dyDescent="0.2">
      <c r="A31" s="10">
        <v>29</v>
      </c>
      <c r="B31" s="11">
        <v>713</v>
      </c>
      <c r="C31">
        <f>SUM($B$2:B31)</f>
        <v>23708</v>
      </c>
    </row>
    <row r="32" spans="1:3" x14ac:dyDescent="0.2">
      <c r="A32" s="10">
        <v>30</v>
      </c>
      <c r="B32" s="11">
        <v>705</v>
      </c>
      <c r="C32">
        <f>SUM($B$2:B32)</f>
        <v>24413</v>
      </c>
    </row>
    <row r="33" spans="1:3" x14ac:dyDescent="0.2">
      <c r="A33" s="10">
        <v>31</v>
      </c>
      <c r="B33" s="11">
        <v>739</v>
      </c>
      <c r="C33">
        <f>SUM($B$2:B33)</f>
        <v>25152</v>
      </c>
    </row>
    <row r="34" spans="1:3" x14ac:dyDescent="0.2">
      <c r="A34" s="10">
        <v>32</v>
      </c>
      <c r="B34" s="11">
        <v>746</v>
      </c>
      <c r="C34">
        <f>SUM($B$2:B34)</f>
        <v>25898</v>
      </c>
    </row>
    <row r="35" spans="1:3" x14ac:dyDescent="0.2">
      <c r="A35" s="10">
        <v>33</v>
      </c>
      <c r="B35" s="11">
        <v>750</v>
      </c>
      <c r="C35">
        <f>SUM($B$2:B35)</f>
        <v>26648</v>
      </c>
    </row>
    <row r="36" spans="1:3" x14ac:dyDescent="0.2">
      <c r="A36" s="10">
        <v>34</v>
      </c>
      <c r="B36" s="11">
        <v>774</v>
      </c>
      <c r="C36">
        <f>SUM($B$2:B36)</f>
        <v>27422</v>
      </c>
    </row>
    <row r="37" spans="1:3" x14ac:dyDescent="0.2">
      <c r="A37" s="10">
        <v>35</v>
      </c>
      <c r="B37" s="11">
        <v>833</v>
      </c>
      <c r="C37">
        <f>SUM($B$2:B37)</f>
        <v>28255</v>
      </c>
    </row>
    <row r="38" spans="1:3" x14ac:dyDescent="0.2">
      <c r="A38" s="10">
        <v>36</v>
      </c>
      <c r="B38" s="11">
        <v>835</v>
      </c>
      <c r="C38">
        <f>SUM($B$2:B38)</f>
        <v>29090</v>
      </c>
    </row>
    <row r="39" spans="1:3" x14ac:dyDescent="0.2">
      <c r="A39" s="10">
        <v>37</v>
      </c>
      <c r="B39" s="11">
        <v>908</v>
      </c>
      <c r="C39">
        <f>SUM($B$2:B39)</f>
        <v>29998</v>
      </c>
    </row>
    <row r="40" spans="1:3" x14ac:dyDescent="0.2">
      <c r="A40" s="10">
        <v>38</v>
      </c>
      <c r="B40" s="11">
        <v>948</v>
      </c>
      <c r="C40">
        <f>SUM($B$2:B40)</f>
        <v>30946</v>
      </c>
    </row>
    <row r="41" spans="1:3" s="15" customFormat="1" x14ac:dyDescent="0.2">
      <c r="A41" s="16">
        <v>39</v>
      </c>
      <c r="B41" s="17">
        <v>1006</v>
      </c>
      <c r="C41" s="15">
        <f>SUM($B$2:B41)</f>
        <v>31952</v>
      </c>
    </row>
    <row r="42" spans="1:3" x14ac:dyDescent="0.2">
      <c r="A42" s="10">
        <v>40</v>
      </c>
      <c r="B42" s="11">
        <v>981</v>
      </c>
      <c r="C42">
        <f>SUM($B$2:B42)</f>
        <v>32933</v>
      </c>
    </row>
    <row r="43" spans="1:3" x14ac:dyDescent="0.2">
      <c r="A43" s="10">
        <v>41</v>
      </c>
      <c r="B43" s="11">
        <v>1024</v>
      </c>
      <c r="C43">
        <f>SUM($B$2:B43)</f>
        <v>33957</v>
      </c>
    </row>
    <row r="44" spans="1:3" s="14" customFormat="1" x14ac:dyDescent="0.2">
      <c r="A44" s="12">
        <v>42</v>
      </c>
      <c r="B44" s="13">
        <v>1045</v>
      </c>
      <c r="C44" s="14">
        <f>SUM($B$2:B44)</f>
        <v>35002</v>
      </c>
    </row>
    <row r="45" spans="1:3" x14ac:dyDescent="0.2">
      <c r="A45" s="10">
        <v>43</v>
      </c>
      <c r="B45" s="11">
        <v>950</v>
      </c>
      <c r="C45">
        <f>SUM($B$2:B45)</f>
        <v>35952</v>
      </c>
    </row>
    <row r="46" spans="1:3" x14ac:dyDescent="0.2">
      <c r="A46" s="10">
        <v>44</v>
      </c>
      <c r="B46" s="11">
        <v>907</v>
      </c>
      <c r="C46">
        <f>SUM($B$2:B46)</f>
        <v>36859</v>
      </c>
    </row>
    <row r="47" spans="1:3" x14ac:dyDescent="0.2">
      <c r="A47" s="10">
        <v>45</v>
      </c>
      <c r="B47" s="11">
        <v>945</v>
      </c>
      <c r="C47">
        <f>SUM($B$2:B47)</f>
        <v>37804</v>
      </c>
    </row>
    <row r="48" spans="1:3" x14ac:dyDescent="0.2">
      <c r="A48" s="10">
        <v>46</v>
      </c>
      <c r="B48" s="11">
        <v>949</v>
      </c>
      <c r="C48">
        <f>SUM($B$2:B48)</f>
        <v>38753</v>
      </c>
    </row>
    <row r="49" spans="1:3" x14ac:dyDescent="0.2">
      <c r="A49" s="10">
        <v>47</v>
      </c>
      <c r="B49" s="11">
        <v>871</v>
      </c>
      <c r="C49">
        <f>SUM($B$2:B49)</f>
        <v>39624</v>
      </c>
    </row>
    <row r="50" spans="1:3" x14ac:dyDescent="0.2">
      <c r="A50" s="10">
        <v>48</v>
      </c>
      <c r="B50" s="11">
        <v>841</v>
      </c>
      <c r="C50">
        <f>SUM($B$2:B50)</f>
        <v>40465</v>
      </c>
    </row>
    <row r="51" spans="1:3" x14ac:dyDescent="0.2">
      <c r="A51" s="10">
        <v>49</v>
      </c>
      <c r="B51" s="11">
        <v>946</v>
      </c>
      <c r="C51">
        <f>SUM($B$2:B51)</f>
        <v>41411</v>
      </c>
    </row>
    <row r="52" spans="1:3" s="14" customFormat="1" x14ac:dyDescent="0.2">
      <c r="A52" s="12">
        <v>50</v>
      </c>
      <c r="B52" s="13">
        <v>897</v>
      </c>
      <c r="C52" s="14">
        <f>SUM($B$2:B52)</f>
        <v>42308</v>
      </c>
    </row>
    <row r="53" spans="1:3" s="14" customFormat="1" x14ac:dyDescent="0.2">
      <c r="A53" s="12">
        <v>51</v>
      </c>
      <c r="B53" s="13">
        <v>815</v>
      </c>
      <c r="C53" s="14">
        <f>SUM($B$2:B53)</f>
        <v>43123</v>
      </c>
    </row>
    <row r="54" spans="1:3" x14ac:dyDescent="0.2">
      <c r="A54" s="10">
        <v>52</v>
      </c>
      <c r="B54" s="11">
        <v>823</v>
      </c>
      <c r="C54">
        <f>SUM($B$2:B54)</f>
        <v>43946</v>
      </c>
    </row>
    <row r="55" spans="1:3" x14ac:dyDescent="0.2">
      <c r="A55" s="10">
        <v>53</v>
      </c>
      <c r="B55" s="11">
        <v>785</v>
      </c>
      <c r="C55">
        <f>SUM($B$2:B55)</f>
        <v>44731</v>
      </c>
    </row>
    <row r="56" spans="1:3" x14ac:dyDescent="0.2">
      <c r="A56" s="10">
        <v>54</v>
      </c>
      <c r="B56" s="11">
        <v>805</v>
      </c>
      <c r="C56">
        <f>SUM($B$2:B56)</f>
        <v>45536</v>
      </c>
    </row>
    <row r="57" spans="1:3" x14ac:dyDescent="0.2">
      <c r="A57" s="10">
        <v>55</v>
      </c>
      <c r="B57" s="11">
        <v>804</v>
      </c>
      <c r="C57">
        <f>SUM($B$2:B57)</f>
        <v>46340</v>
      </c>
    </row>
    <row r="58" spans="1:3" x14ac:dyDescent="0.2">
      <c r="A58" s="10">
        <v>56</v>
      </c>
      <c r="B58" s="11">
        <v>795</v>
      </c>
      <c r="C58">
        <f>SUM($B$2:B58)</f>
        <v>47135</v>
      </c>
    </row>
    <row r="59" spans="1:3" x14ac:dyDescent="0.2">
      <c r="A59" s="10">
        <v>57</v>
      </c>
      <c r="B59" s="11">
        <v>740</v>
      </c>
      <c r="C59">
        <f>SUM($B$2:B59)</f>
        <v>47875</v>
      </c>
    </row>
    <row r="60" spans="1:3" x14ac:dyDescent="0.2">
      <c r="A60" s="10">
        <v>58</v>
      </c>
      <c r="B60" s="11">
        <v>724</v>
      </c>
      <c r="C60">
        <f>SUM($B$2:B60)</f>
        <v>48599</v>
      </c>
    </row>
    <row r="61" spans="1:3" x14ac:dyDescent="0.2">
      <c r="A61" s="10">
        <v>59</v>
      </c>
      <c r="B61" s="11">
        <v>743</v>
      </c>
      <c r="C61">
        <f>SUM($B$2:B61)</f>
        <v>49342</v>
      </c>
    </row>
    <row r="62" spans="1:3" x14ac:dyDescent="0.2">
      <c r="A62" s="10">
        <v>60</v>
      </c>
      <c r="B62" s="11">
        <v>673</v>
      </c>
      <c r="C62">
        <f>SUM($B$2:B62)</f>
        <v>50015</v>
      </c>
    </row>
    <row r="63" spans="1:3" x14ac:dyDescent="0.2">
      <c r="A63" s="10">
        <v>61</v>
      </c>
      <c r="B63" s="11">
        <v>684</v>
      </c>
      <c r="C63">
        <f>SUM($B$2:B63)</f>
        <v>50699</v>
      </c>
    </row>
    <row r="64" spans="1:3" x14ac:dyDescent="0.2">
      <c r="A64" s="10">
        <v>62</v>
      </c>
      <c r="B64" s="11">
        <v>713</v>
      </c>
      <c r="C64">
        <f>SUM($B$2:B64)</f>
        <v>51412</v>
      </c>
    </row>
    <row r="65" spans="1:3" x14ac:dyDescent="0.2">
      <c r="A65" s="10">
        <v>63</v>
      </c>
      <c r="B65" s="11">
        <v>642</v>
      </c>
      <c r="C65">
        <f>SUM($B$2:B65)</f>
        <v>52054</v>
      </c>
    </row>
    <row r="66" spans="1:3" x14ac:dyDescent="0.2">
      <c r="A66" s="10">
        <v>64</v>
      </c>
      <c r="B66" s="11">
        <v>610</v>
      </c>
      <c r="C66">
        <f>SUM($B$2:B66)</f>
        <v>52664</v>
      </c>
    </row>
    <row r="67" spans="1:3" x14ac:dyDescent="0.2">
      <c r="A67" s="10">
        <v>65</v>
      </c>
      <c r="B67" s="11">
        <v>628</v>
      </c>
      <c r="C67">
        <f>SUM($B$2:B67)</f>
        <v>53292</v>
      </c>
    </row>
    <row r="68" spans="1:3" x14ac:dyDescent="0.2">
      <c r="A68" s="10">
        <v>66</v>
      </c>
      <c r="B68" s="11">
        <v>569</v>
      </c>
      <c r="C68">
        <f>SUM($B$2:B68)</f>
        <v>53861</v>
      </c>
    </row>
    <row r="69" spans="1:3" x14ac:dyDescent="0.2">
      <c r="A69" s="10">
        <v>67</v>
      </c>
      <c r="B69" s="11">
        <v>562</v>
      </c>
      <c r="C69">
        <f>SUM($B$2:B69)</f>
        <v>54423</v>
      </c>
    </row>
    <row r="70" spans="1:3" x14ac:dyDescent="0.2">
      <c r="A70" s="10">
        <v>68</v>
      </c>
      <c r="B70" s="11">
        <v>565</v>
      </c>
      <c r="C70">
        <f>SUM($B$2:B70)</f>
        <v>54988</v>
      </c>
    </row>
    <row r="71" spans="1:3" x14ac:dyDescent="0.2">
      <c r="A71" s="10">
        <v>69</v>
      </c>
      <c r="B71" s="11">
        <v>587</v>
      </c>
      <c r="C71">
        <f>SUM($B$2:B71)</f>
        <v>55575</v>
      </c>
    </row>
    <row r="72" spans="1:3" x14ac:dyDescent="0.2">
      <c r="A72" s="10">
        <v>70</v>
      </c>
      <c r="B72" s="11">
        <v>522</v>
      </c>
      <c r="C72">
        <f>SUM($B$2:B72)</f>
        <v>56097</v>
      </c>
    </row>
    <row r="73" spans="1:3" x14ac:dyDescent="0.2">
      <c r="A73" s="10">
        <v>71</v>
      </c>
      <c r="B73" s="11">
        <v>497</v>
      </c>
      <c r="C73">
        <f>SUM($B$2:B73)</f>
        <v>56594</v>
      </c>
    </row>
    <row r="74" spans="1:3" x14ac:dyDescent="0.2">
      <c r="A74" s="10">
        <v>72</v>
      </c>
      <c r="B74" s="11">
        <v>526</v>
      </c>
      <c r="C74">
        <f>SUM($B$2:B74)</f>
        <v>57120</v>
      </c>
    </row>
    <row r="75" spans="1:3" x14ac:dyDescent="0.2">
      <c r="A75" s="10">
        <v>73</v>
      </c>
      <c r="B75" s="11">
        <v>461</v>
      </c>
      <c r="C75">
        <f>SUM($B$2:B75)</f>
        <v>57581</v>
      </c>
    </row>
    <row r="76" spans="1:3" x14ac:dyDescent="0.2">
      <c r="A76" s="10">
        <v>74</v>
      </c>
      <c r="B76" s="11">
        <v>475</v>
      </c>
      <c r="C76">
        <f>SUM($B$2:B76)</f>
        <v>58056</v>
      </c>
    </row>
    <row r="77" spans="1:3" x14ac:dyDescent="0.2">
      <c r="A77" s="10">
        <v>75</v>
      </c>
      <c r="B77" s="11">
        <v>404</v>
      </c>
      <c r="C77">
        <f>SUM($B$2:B77)</f>
        <v>58460</v>
      </c>
    </row>
    <row r="78" spans="1:3" x14ac:dyDescent="0.2">
      <c r="A78" s="10">
        <v>76</v>
      </c>
      <c r="B78" s="11">
        <v>412</v>
      </c>
      <c r="C78">
        <f>SUM($B$2:B78)</f>
        <v>58872</v>
      </c>
    </row>
    <row r="79" spans="1:3" x14ac:dyDescent="0.2">
      <c r="A79" s="10">
        <v>77</v>
      </c>
      <c r="B79" s="11">
        <v>372</v>
      </c>
      <c r="C79">
        <f>SUM($B$2:B79)</f>
        <v>59244</v>
      </c>
    </row>
    <row r="80" spans="1:3" x14ac:dyDescent="0.2">
      <c r="A80" s="10">
        <v>78</v>
      </c>
      <c r="B80" s="11">
        <v>312</v>
      </c>
      <c r="C80">
        <f>SUM($B$2:B80)</f>
        <v>59556</v>
      </c>
    </row>
    <row r="81" spans="1:3" x14ac:dyDescent="0.2">
      <c r="A81" s="10">
        <v>79</v>
      </c>
      <c r="B81" s="11">
        <v>339</v>
      </c>
      <c r="C81">
        <f>SUM($B$2:B81)</f>
        <v>59895</v>
      </c>
    </row>
    <row r="82" spans="1:3" x14ac:dyDescent="0.2">
      <c r="A82" s="10">
        <v>80</v>
      </c>
      <c r="B82" s="11">
        <v>279</v>
      </c>
      <c r="C82">
        <f>SUM($B$2:B82)</f>
        <v>60174</v>
      </c>
    </row>
    <row r="83" spans="1:3" x14ac:dyDescent="0.2">
      <c r="A83" s="10">
        <v>81</v>
      </c>
      <c r="B83" s="11">
        <v>265</v>
      </c>
      <c r="C83">
        <f>SUM($B$2:B83)</f>
        <v>60439</v>
      </c>
    </row>
    <row r="84" spans="1:3" x14ac:dyDescent="0.2">
      <c r="A84" s="10">
        <v>82</v>
      </c>
      <c r="B84" s="11">
        <v>240</v>
      </c>
      <c r="C84">
        <f>SUM($B$2:B84)</f>
        <v>60679</v>
      </c>
    </row>
    <row r="85" spans="1:3" x14ac:dyDescent="0.2">
      <c r="A85" s="10">
        <v>83</v>
      </c>
      <c r="B85" s="11">
        <v>203</v>
      </c>
      <c r="C85">
        <f>SUM($B$2:B85)</f>
        <v>60882</v>
      </c>
    </row>
    <row r="86" spans="1:3" x14ac:dyDescent="0.2">
      <c r="A86" s="10">
        <v>84</v>
      </c>
      <c r="B86" s="11">
        <v>198</v>
      </c>
      <c r="C86">
        <f>SUM($B$2:B86)</f>
        <v>61080</v>
      </c>
    </row>
    <row r="87" spans="1:3" x14ac:dyDescent="0.2">
      <c r="A87" s="10">
        <v>85</v>
      </c>
      <c r="B87" s="11">
        <v>141</v>
      </c>
      <c r="C87">
        <f>SUM($B$2:B87)</f>
        <v>61221</v>
      </c>
    </row>
    <row r="88" spans="1:3" x14ac:dyDescent="0.2">
      <c r="A88" s="10">
        <v>86</v>
      </c>
      <c r="B88" s="11">
        <v>159</v>
      </c>
      <c r="C88">
        <f>SUM($B$2:B88)</f>
        <v>61380</v>
      </c>
    </row>
    <row r="89" spans="1:3" x14ac:dyDescent="0.2">
      <c r="A89" s="10">
        <v>87</v>
      </c>
      <c r="B89" s="11">
        <v>119</v>
      </c>
      <c r="C89">
        <f>SUM($B$2:B89)</f>
        <v>61499</v>
      </c>
    </row>
    <row r="90" spans="1:3" x14ac:dyDescent="0.2">
      <c r="A90" s="10">
        <v>88</v>
      </c>
      <c r="B90" s="11">
        <v>105</v>
      </c>
      <c r="C90">
        <f>SUM($B$2:B90)</f>
        <v>61604</v>
      </c>
    </row>
    <row r="91" spans="1:3" x14ac:dyDescent="0.2">
      <c r="A91" s="10">
        <v>89</v>
      </c>
      <c r="B91" s="11">
        <v>86</v>
      </c>
      <c r="C91">
        <f>SUM($B$2:B91)</f>
        <v>61690</v>
      </c>
    </row>
    <row r="92" spans="1:3" x14ac:dyDescent="0.2">
      <c r="A92" s="10">
        <v>90</v>
      </c>
      <c r="B92" s="11">
        <v>65</v>
      </c>
      <c r="C92">
        <f>SUM($B$2:B92)</f>
        <v>61755</v>
      </c>
    </row>
    <row r="93" spans="1:3" x14ac:dyDescent="0.2">
      <c r="A93" s="10">
        <v>91</v>
      </c>
      <c r="B93" s="11">
        <v>72</v>
      </c>
      <c r="C93">
        <f>SUM($B$2:B93)</f>
        <v>61827</v>
      </c>
    </row>
    <row r="94" spans="1:3" x14ac:dyDescent="0.2">
      <c r="A94" s="10">
        <v>92</v>
      </c>
      <c r="B94" s="11">
        <v>38</v>
      </c>
      <c r="C94">
        <f>SUM($B$2:B94)</f>
        <v>61865</v>
      </c>
    </row>
    <row r="95" spans="1:3" x14ac:dyDescent="0.2">
      <c r="A95" s="10">
        <v>93</v>
      </c>
      <c r="B95" s="11">
        <v>26</v>
      </c>
      <c r="C95">
        <f>SUM($B$2:B95)</f>
        <v>61891</v>
      </c>
    </row>
    <row r="96" spans="1:3" x14ac:dyDescent="0.2">
      <c r="A96" s="10">
        <v>94</v>
      </c>
      <c r="B96" s="11">
        <v>24</v>
      </c>
      <c r="C96">
        <f>SUM($B$2:B96)</f>
        <v>61915</v>
      </c>
    </row>
    <row r="97" spans="1:5" x14ac:dyDescent="0.2">
      <c r="A97" s="10">
        <v>95</v>
      </c>
      <c r="B97" s="11">
        <v>14</v>
      </c>
      <c r="C97">
        <f>SUM($B$2:B97)</f>
        <v>61929</v>
      </c>
    </row>
    <row r="98" spans="1:5" x14ac:dyDescent="0.2">
      <c r="A98" s="10">
        <v>96</v>
      </c>
      <c r="B98" s="11">
        <v>11</v>
      </c>
      <c r="C98">
        <f>SUM($B$2:B98)</f>
        <v>61940</v>
      </c>
    </row>
    <row r="99" spans="1:5" x14ac:dyDescent="0.2">
      <c r="A99" s="10">
        <v>97</v>
      </c>
      <c r="B99" s="11">
        <v>11</v>
      </c>
      <c r="C99">
        <f>SUM($B$2:B99)</f>
        <v>61951</v>
      </c>
    </row>
    <row r="100" spans="1:5" x14ac:dyDescent="0.2">
      <c r="A100" s="10">
        <v>98</v>
      </c>
      <c r="B100" s="11">
        <v>7</v>
      </c>
      <c r="C100">
        <f>SUM($B$2:B100)</f>
        <v>61958</v>
      </c>
    </row>
    <row r="101" spans="1:5" x14ac:dyDescent="0.2">
      <c r="A101" s="10">
        <v>99</v>
      </c>
      <c r="B101" s="11">
        <v>7</v>
      </c>
      <c r="C101">
        <f>SUM($B$2:B101)</f>
        <v>61965</v>
      </c>
    </row>
    <row r="102" spans="1:5" x14ac:dyDescent="0.2">
      <c r="A102" s="10">
        <v>100</v>
      </c>
      <c r="B102" s="11">
        <v>3</v>
      </c>
      <c r="C102">
        <f>SUM($B$2:B102)</f>
        <v>61968</v>
      </c>
    </row>
    <row r="103" spans="1:5" x14ac:dyDescent="0.2">
      <c r="B103">
        <f>SUM(B2:B102)</f>
        <v>61968</v>
      </c>
      <c r="C103" s="14">
        <f>SUM(C2:C102)</f>
        <v>3886943</v>
      </c>
      <c r="E103" s="15">
        <f>B103/2</f>
        <v>30984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Arkusze</vt:lpstr>
      </vt:variant>
      <vt:variant>
        <vt:i4>3</vt:i4>
      </vt:variant>
    </vt:vector>
  </HeadingPairs>
  <TitlesOfParts>
    <vt:vector size="3" baseType="lpstr">
      <vt:lpstr>population_for_analysis</vt:lpstr>
      <vt:lpstr>Weighted Mean</vt:lpstr>
      <vt:lpstr>Weighted Median &amp; Mode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Edison Consulting</dc:creator>
  <cp:lastModifiedBy>Edison Consulting</cp:lastModifiedBy>
  <dcterms:created xsi:type="dcterms:W3CDTF">2025-11-04T21:56:23Z</dcterms:created>
  <dcterms:modified xsi:type="dcterms:W3CDTF">2025-11-05T23:26:49Z</dcterms:modified>
</cp:coreProperties>
</file>